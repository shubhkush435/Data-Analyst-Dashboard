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742CA89-E475-4D71-BA00-FF908E1913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inkIT Grocery 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 a="1"/>
  <c r="N9" i="1" l="1"/>
  <c r="N8" i="1"/>
  <c r="P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<sst xmlns="http://schemas.openxmlformats.org/spreadsheetml/2006/main" count="735" uniqueCount="132">
  <si>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</si>
  <si>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</si>
  <si>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</si>
  <si>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</si>
  <si>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</si>
  <si>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</si>
  <si>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</si>
  <si>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</si>
  <si>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</si>
  <si>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</si>
  <si>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</si>
  <si>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</si>
  <si>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Low Fat</t>
  </si>
  <si>
    <t>FDX91</t>
  </si>
  <si>
    <t>Breads</t>
  </si>
  <si>
    <t>OUT047</t>
  </si>
  <si>
    <t>Tier 3</t>
  </si>
  <si>
    <t>Medium</t>
  </si>
  <si>
    <t>Supermarket Type1</t>
  </si>
  <si>
    <t>FDX23</t>
  </si>
  <si>
    <t>Household</t>
  </si>
  <si>
    <t>OUT032</t>
  </si>
  <si>
    <t>Supermarket Type2</t>
  </si>
  <si>
    <t>FDX41</t>
  </si>
  <si>
    <t>Health and Hygiene</t>
  </si>
  <si>
    <t>OUT037</t>
  </si>
  <si>
    <t>Tier 2</t>
  </si>
  <si>
    <t>Grocery Store</t>
  </si>
  <si>
    <t>FDX52</t>
  </si>
  <si>
    <t>Snack Foods</t>
  </si>
  <si>
    <t>OUT023</t>
  </si>
  <si>
    <t>Regular</t>
  </si>
  <si>
    <t>FDX93</t>
  </si>
  <si>
    <t>OUT048</t>
  </si>
  <si>
    <t>High</t>
  </si>
  <si>
    <t>Supermarket Type3</t>
  </si>
  <si>
    <t>FDX70</t>
  </si>
  <si>
    <t>Canned</t>
  </si>
  <si>
    <t>OUT030</t>
  </si>
  <si>
    <t>Tier 1</t>
  </si>
  <si>
    <t>Small</t>
  </si>
  <si>
    <t>FDX96</t>
  </si>
  <si>
    <t>OUT036</t>
  </si>
  <si>
    <t>FDX43</t>
  </si>
  <si>
    <t>Hard Drinks</t>
  </si>
  <si>
    <t>FDX28</t>
  </si>
  <si>
    <t>OUT014</t>
  </si>
  <si>
    <t>Frozen Foods</t>
  </si>
  <si>
    <t>OUT016</t>
  </si>
  <si>
    <t>FDX51</t>
  </si>
  <si>
    <t>OUT010</t>
  </si>
  <si>
    <t>FDX88</t>
  </si>
  <si>
    <t>OUT039</t>
  </si>
  <si>
    <t>FDX68</t>
  </si>
  <si>
    <t>OUT027</t>
  </si>
  <si>
    <t>FDX86</t>
  </si>
  <si>
    <t>Meat</t>
  </si>
  <si>
    <t>OUT025</t>
  </si>
  <si>
    <t>FDX19</t>
  </si>
  <si>
    <t>OUT038</t>
  </si>
  <si>
    <t>FDX31</t>
  </si>
  <si>
    <t>Soft Drinks</t>
  </si>
  <si>
    <t>OUT018</t>
  </si>
  <si>
    <t>FDX46</t>
  </si>
  <si>
    <t>OUT049</t>
  </si>
  <si>
    <t>FDX80</t>
  </si>
  <si>
    <t>OUT020</t>
  </si>
  <si>
    <t>OUT015</t>
  </si>
  <si>
    <t>FDX15</t>
  </si>
  <si>
    <t>FDX62</t>
  </si>
  <si>
    <t>OUT044</t>
  </si>
  <si>
    <t>FDX33</t>
  </si>
  <si>
    <t>FDX36</t>
  </si>
  <si>
    <t>OUT042</t>
  </si>
  <si>
    <t>FDX20</t>
  </si>
  <si>
    <t>Dairy</t>
  </si>
  <si>
    <t>OUT035</t>
  </si>
  <si>
    <t>FDX18</t>
  </si>
  <si>
    <t>OUT045</t>
  </si>
  <si>
    <t>FDX84</t>
  </si>
  <si>
    <t>FDX48</t>
  </si>
  <si>
    <t>Fruits and Vegetables</t>
  </si>
  <si>
    <t>OUT033</t>
  </si>
  <si>
    <t>FDX92</t>
  </si>
  <si>
    <t>OUT043</t>
  </si>
  <si>
    <t>FDX85</t>
  </si>
  <si>
    <t>FDX60</t>
  </si>
  <si>
    <t>OUT046</t>
  </si>
  <si>
    <t>FDX47</t>
  </si>
  <si>
    <t>FDX98</t>
  </si>
  <si>
    <t>FDX56</t>
  </si>
  <si>
    <t>OUT021</t>
  </si>
  <si>
    <t>OUT022</t>
  </si>
  <si>
    <t>OUT034</t>
  </si>
  <si>
    <t>FDX12</t>
  </si>
  <si>
    <t>FDX29</t>
  </si>
  <si>
    <t>FDX76</t>
  </si>
  <si>
    <t>FDX82</t>
  </si>
  <si>
    <t>FDX79</t>
  </si>
  <si>
    <t>FDX69</t>
  </si>
  <si>
    <t>FDX90</t>
  </si>
  <si>
    <t>OUT019</t>
  </si>
  <si>
    <t>FDX25</t>
  </si>
  <si>
    <t>FDX40</t>
  </si>
  <si>
    <t>OUT040</t>
  </si>
  <si>
    <t>FDX32</t>
  </si>
  <si>
    <t>FDX26</t>
  </si>
  <si>
    <t>OUT041</t>
  </si>
  <si>
    <t>FDX24</t>
  </si>
  <si>
    <t>FDX37</t>
  </si>
  <si>
    <t>FDX66</t>
  </si>
  <si>
    <t>OUT024</t>
  </si>
  <si>
    <t>FDX78</t>
  </si>
  <si>
    <t>OUT013</t>
  </si>
  <si>
    <t>FDX50</t>
  </si>
  <si>
    <t>FDX72</t>
  </si>
  <si>
    <t>FDX65</t>
  </si>
  <si>
    <t>FDX39</t>
  </si>
  <si>
    <t>FDX95</t>
  </si>
  <si>
    <t>OUT026</t>
  </si>
  <si>
    <t>OUT017</t>
  </si>
  <si>
    <t>OUT012</t>
  </si>
  <si>
    <t>FDX99</t>
  </si>
  <si>
    <t>OUT028</t>
  </si>
  <si>
    <t>FDX35</t>
  </si>
  <si>
    <t>OUT029</t>
  </si>
  <si>
    <t>FDX54</t>
  </si>
  <si>
    <t>FDX22</t>
  </si>
  <si>
    <t>OUT031</t>
  </si>
  <si>
    <t>FDX49</t>
  </si>
  <si>
    <t>FDX97</t>
  </si>
  <si>
    <t>FDX77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</si>
</sst>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inkITTable" displayName="BlinkITTable" ref="A1:L101">
  <autoFilter ref="A1:L101" xr:uid="{00000000-0009-0000-0100-000001000000}"/>
  <tableColumns count="12">
    <tableColumn id="1" xr3:uid="{00000000-0010-0000-0000-000001000000}" name="Item Fat Content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tabSelected="1" topLeftCell="M1" workbookViewId="0">
      <selection activeCell="T23" sqref="T23"/>
    </sheetView>
  </sheetViews>
  <sheetFormatPr defaultRowHeight="14.4" x14ac:dyDescent="0.3"/>
  <cols>
    <col min="1" max="2" width="18" customWidth="1"/>
    <col min="3" max="4" width="28" customWidth="1"/>
    <col min="5" max="5" width="20" customWidth="1"/>
    <col min="6" max="6" width="22" customWidth="1"/>
    <col min="7" max="7" width="15" customWidth="1"/>
    <col min="8" max="8" width="22" customWidth="1"/>
    <col min="9" max="9" width="18" customWidth="1"/>
    <col min="10" max="11" width="15" customWidth="1"/>
    <col min="12" max="12" width="10" customWidth="1"/>
    <col min="14" max="14" width="29.109375" customWidth="1"/>
    <col min="16" max="16" width="15.21875" bestFit="1" customWidth="1"/>
    <col min="17" max="17" width="13.109375" bestFit="1" customWidth="1"/>
    <col min="18" max="18" width="9.44140625" bestFit="1" customWidth="1"/>
    <col min="19" max="19" width="22.88671875" bestFit="1" customWidth="1"/>
    <col min="20" max="20" width="14.44140625" bestFit="1" customWidth="1"/>
    <col min="21" max="21" width="18.6640625" bestFit="1" customWidth="1"/>
    <col min="22" max="22" width="9.88671875" bestFit="1" customWidth="1"/>
    <col min="23" max="23" width="19.77734375" customWidth="1"/>
    <col min="24" max="24" width="12.33203125" bestFit="1" customWidth="1"/>
    <col min="25" max="25" width="11.33203125" bestFit="1" customWidth="1"/>
    <col min="26" max="26" width="9.6640625" customWidth="1"/>
    <col min="27" max="27" width="9.44140625" customWidth="1"/>
    <col min="29" max="29" width="17.5546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s="4" t="s">
        <v>18</v>
      </c>
      <c r="P1" s="1" t="s">
        <v>0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2" t="s">
        <v>8</v>
      </c>
      <c r="Y1" s="2" t="s">
        <v>9</v>
      </c>
      <c r="Z1" s="2" t="s">
        <v>10</v>
      </c>
      <c r="AA1" s="3" t="s">
        <v>11</v>
      </c>
      <c r="AC1" s="4" t="s">
        <v>18</v>
      </c>
    </row>
    <row r="2" spans="1:29" x14ac:dyDescent="0.3">
      <c r="A2" t="s">
        <v>12</v>
      </c>
      <c r="B2" t="s">
        <v>13</v>
      </c>
      <c r="C2" t="s">
        <v>14</v>
      </c>
      <c r="D2">
        <v>2015</v>
      </c>
      <c r="E2" t="s">
        <v>15</v>
      </c>
      <c r="F2" t="s">
        <v>16</v>
      </c>
      <c r="G2" t="s">
        <v>17</v>
      </c>
      <c r="H2" t="s">
        <v>18</v>
      </c>
      <c r="I2">
        <v>0.13034242500000001</v>
      </c>
      <c r="J2">
        <v>22.88</v>
      </c>
      <c r="K2">
        <v>178.97399999999999</v>
      </c>
      <c r="L2">
        <v>4.7</v>
      </c>
      <c r="N2" s="5" t="s">
        <v>22</v>
      </c>
      <c r="P2" t="str" cm="1">
        <f t="array" ref="P2:AA18">_xlfn._xlws.FILTER(BlinkITTable[],BlinkITTable[Outlet Type]=N6)</f>
        <v>Regular</v>
      </c>
      <c r="Q2" t="str">
        <v>FDX93</v>
      </c>
      <c r="R2" t="str">
        <v>Health and Hygiene</v>
      </c>
      <c r="S2">
        <v>2011</v>
      </c>
      <c r="T2" t="str">
        <v>OUT048</v>
      </c>
      <c r="U2" t="str">
        <v>Tier 3</v>
      </c>
      <c r="V2" t="str">
        <v>High</v>
      </c>
      <c r="W2" t="str">
        <v>Supermarket Type3</v>
      </c>
      <c r="X2">
        <v>0.195508455</v>
      </c>
      <c r="Y2">
        <v>10.68</v>
      </c>
      <c r="Z2">
        <v>179.8176</v>
      </c>
      <c r="AA2">
        <v>1.1000000000000001</v>
      </c>
      <c r="AC2" s="5" t="s">
        <v>22</v>
      </c>
    </row>
    <row r="3" spans="1:29" x14ac:dyDescent="0.3">
      <c r="A3" t="s">
        <v>12</v>
      </c>
      <c r="B3" t="s">
        <v>19</v>
      </c>
      <c r="C3" t="s">
        <v>20</v>
      </c>
      <c r="D3">
        <v>2021</v>
      </c>
      <c r="E3" t="s">
        <v>21</v>
      </c>
      <c r="F3" t="s">
        <v>16</v>
      </c>
      <c r="G3" t="s">
        <v>17</v>
      </c>
      <c r="H3" t="s">
        <v>22</v>
      </c>
      <c r="I3">
        <v>2.4558582999999998E-2</v>
      </c>
      <c r="J3">
        <v>19.14</v>
      </c>
      <c r="K3">
        <v>66.668800000000005</v>
      </c>
      <c r="L3">
        <v>4</v>
      </c>
      <c r="N3" s="4" t="s">
        <v>27</v>
      </c>
      <c r="P3" t="str">
        <v>Regular</v>
      </c>
      <c r="Q3" t="str">
        <v>FDX88</v>
      </c>
      <c r="R3" t="str">
        <v>Frozen Foods</v>
      </c>
      <c r="S3">
        <v>2013</v>
      </c>
      <c r="T3" t="str">
        <v>OUT039</v>
      </c>
      <c r="U3" t="str">
        <v>Tier 2</v>
      </c>
      <c r="V3" t="str">
        <v>Small</v>
      </c>
      <c r="W3" t="str">
        <v>Supermarket Type3</v>
      </c>
      <c r="X3">
        <v>0.14091862499999999</v>
      </c>
      <c r="Y3">
        <v>11.89</v>
      </c>
      <c r="Z3">
        <v>132.9658</v>
      </c>
      <c r="AA3">
        <v>4.3</v>
      </c>
      <c r="AC3" s="4" t="s">
        <v>27</v>
      </c>
    </row>
    <row r="4" spans="1:29" x14ac:dyDescent="0.3">
      <c r="A4" t="s">
        <v>12</v>
      </c>
      <c r="B4" t="s">
        <v>23</v>
      </c>
      <c r="C4" t="s">
        <v>24</v>
      </c>
      <c r="D4">
        <v>2018</v>
      </c>
      <c r="E4" t="s">
        <v>25</v>
      </c>
      <c r="F4" t="s">
        <v>26</v>
      </c>
      <c r="G4" t="s">
        <v>17</v>
      </c>
      <c r="H4" t="s">
        <v>27</v>
      </c>
      <c r="I4">
        <v>0.19037700599999999</v>
      </c>
      <c r="J4">
        <v>15.12</v>
      </c>
      <c r="K4">
        <v>219.57239999999999</v>
      </c>
      <c r="L4">
        <v>4</v>
      </c>
      <c r="N4" s="4" t="s">
        <v>35</v>
      </c>
      <c r="P4" t="str">
        <v>Low Fat</v>
      </c>
      <c r="Q4" t="str">
        <v>FDX19</v>
      </c>
      <c r="R4" t="str">
        <v>Meat</v>
      </c>
      <c r="S4">
        <v>2021</v>
      </c>
      <c r="T4" t="str">
        <v>OUT038</v>
      </c>
      <c r="U4" t="str">
        <v>Tier 1</v>
      </c>
      <c r="V4" t="str">
        <v>Small</v>
      </c>
      <c r="W4" t="str">
        <v>Supermarket Type3</v>
      </c>
      <c r="X4">
        <v>1.994399E-3</v>
      </c>
      <c r="Y4">
        <v>23.04</v>
      </c>
      <c r="Z4">
        <v>222.20920000000001</v>
      </c>
      <c r="AA4">
        <v>3.9</v>
      </c>
      <c r="AC4" s="4" t="s">
        <v>35</v>
      </c>
    </row>
    <row r="5" spans="1:29" x14ac:dyDescent="0.3">
      <c r="A5" t="s">
        <v>12</v>
      </c>
      <c r="B5" t="s">
        <v>28</v>
      </c>
      <c r="C5" t="s">
        <v>29</v>
      </c>
      <c r="D5">
        <v>2016</v>
      </c>
      <c r="E5" t="s">
        <v>30</v>
      </c>
      <c r="F5" t="s">
        <v>16</v>
      </c>
      <c r="G5" t="s">
        <v>17</v>
      </c>
      <c r="H5" t="s">
        <v>22</v>
      </c>
      <c r="I5">
        <v>0.14046610300000001</v>
      </c>
      <c r="J5">
        <v>23.79</v>
      </c>
      <c r="K5">
        <v>129.71170000000001</v>
      </c>
      <c r="L5">
        <v>4.5</v>
      </c>
      <c r="N5" s="5"/>
      <c r="P5" t="str">
        <v>Low Fat</v>
      </c>
      <c r="Q5" t="str">
        <v>FDX80</v>
      </c>
      <c r="R5" t="str">
        <v>Frozen Foods</v>
      </c>
      <c r="S5">
        <v>2016</v>
      </c>
      <c r="T5" t="str">
        <v>OUT020</v>
      </c>
      <c r="U5" t="str">
        <v>Tier 1</v>
      </c>
      <c r="V5" t="str">
        <v>Small</v>
      </c>
      <c r="W5" t="str">
        <v>Supermarket Type3</v>
      </c>
      <c r="X5">
        <v>6.3938327000000003E-2</v>
      </c>
      <c r="Y5">
        <v>21.77</v>
      </c>
      <c r="Z5">
        <v>172.51859999999999</v>
      </c>
      <c r="AA5">
        <v>2.1</v>
      </c>
      <c r="AC5" s="5" t="s">
        <v>18</v>
      </c>
    </row>
    <row r="6" spans="1:29" x14ac:dyDescent="0.3">
      <c r="A6" t="s">
        <v>31</v>
      </c>
      <c r="B6" t="s">
        <v>32</v>
      </c>
      <c r="C6" t="s">
        <v>24</v>
      </c>
      <c r="D6">
        <v>2011</v>
      </c>
      <c r="E6" t="s">
        <v>33</v>
      </c>
      <c r="F6" t="s">
        <v>16</v>
      </c>
      <c r="G6" t="s">
        <v>34</v>
      </c>
      <c r="H6" t="s">
        <v>35</v>
      </c>
      <c r="I6">
        <v>0.195508455</v>
      </c>
      <c r="J6">
        <v>10.68</v>
      </c>
      <c r="K6">
        <v>179.8176</v>
      </c>
      <c r="L6">
        <v>1.1000000000000001</v>
      </c>
      <c r="N6" s="6" t="s">
        <v>35</v>
      </c>
      <c r="P6" t="str">
        <v>Regular</v>
      </c>
      <c r="Q6" t="str">
        <v>FDX33</v>
      </c>
      <c r="R6" t="str">
        <v>Canned</v>
      </c>
      <c r="S6">
        <v>2018</v>
      </c>
      <c r="T6" t="str">
        <v>OUT015</v>
      </c>
      <c r="U6" t="str">
        <v>Tier 3</v>
      </c>
      <c r="V6" t="str">
        <v>Small</v>
      </c>
      <c r="W6" t="str">
        <v>Supermarket Type3</v>
      </c>
      <c r="X6">
        <v>5.5943971000000002E-2</v>
      </c>
      <c r="Y6">
        <v>6.2</v>
      </c>
      <c r="Z6">
        <v>146.88800000000001</v>
      </c>
      <c r="AA6">
        <v>3.5</v>
      </c>
      <c r="AC6" s="6"/>
    </row>
    <row r="7" spans="1:29" x14ac:dyDescent="0.3">
      <c r="A7" t="s">
        <v>12</v>
      </c>
      <c r="B7" t="s">
        <v>36</v>
      </c>
      <c r="C7" t="s">
        <v>37</v>
      </c>
      <c r="D7">
        <v>2011</v>
      </c>
      <c r="E7" t="s">
        <v>38</v>
      </c>
      <c r="F7" t="s">
        <v>39</v>
      </c>
      <c r="G7" t="s">
        <v>40</v>
      </c>
      <c r="H7" t="s">
        <v>18</v>
      </c>
      <c r="I7">
        <v>0.17489955400000001</v>
      </c>
      <c r="J7">
        <v>12.34</v>
      </c>
      <c r="K7">
        <v>276.49959999999999</v>
      </c>
      <c r="L7">
        <v>2.1</v>
      </c>
      <c r="P7" t="str">
        <v>Low Fat</v>
      </c>
      <c r="Q7" t="str">
        <v>FDX23</v>
      </c>
      <c r="R7" t="str">
        <v>Dairy</v>
      </c>
      <c r="S7">
        <v>2012</v>
      </c>
      <c r="T7" t="str">
        <v>OUT045</v>
      </c>
      <c r="U7" t="str">
        <v>Tier 3</v>
      </c>
      <c r="V7" t="str">
        <v>High</v>
      </c>
      <c r="W7" t="str">
        <v>Supermarket Type3</v>
      </c>
      <c r="X7">
        <v>8.7366454999999996E-2</v>
      </c>
      <c r="Y7">
        <v>16.11</v>
      </c>
      <c r="Z7">
        <v>136.8819</v>
      </c>
      <c r="AA7">
        <v>5</v>
      </c>
    </row>
    <row r="8" spans="1:29" x14ac:dyDescent="0.3">
      <c r="A8" t="s">
        <v>12</v>
      </c>
      <c r="B8" t="s">
        <v>41</v>
      </c>
      <c r="C8" t="s">
        <v>24</v>
      </c>
      <c r="D8">
        <v>2016</v>
      </c>
      <c r="E8" t="s">
        <v>42</v>
      </c>
      <c r="F8" t="s">
        <v>26</v>
      </c>
      <c r="G8" t="s">
        <v>17</v>
      </c>
      <c r="H8" t="s">
        <v>18</v>
      </c>
      <c r="I8">
        <v>0.1097409</v>
      </c>
      <c r="J8">
        <v>6.8</v>
      </c>
      <c r="K8">
        <v>66.834000000000003</v>
      </c>
      <c r="L8">
        <v>4.5999999999999996</v>
      </c>
      <c r="N8">
        <f>SUM(Z2:Z31)</f>
        <v>2988.2545999999998</v>
      </c>
      <c r="P8" t="str">
        <v>Low Fat</v>
      </c>
      <c r="Q8" t="str">
        <v>FDX84</v>
      </c>
      <c r="R8" t="str">
        <v>Breads</v>
      </c>
      <c r="S8">
        <v>2013</v>
      </c>
      <c r="T8" t="str">
        <v>OUT023</v>
      </c>
      <c r="U8" t="str">
        <v>Tier 2</v>
      </c>
      <c r="V8" t="str">
        <v>Medium</v>
      </c>
      <c r="W8" t="str">
        <v>Supermarket Type3</v>
      </c>
      <c r="X8">
        <v>7.5385683999999994E-2</v>
      </c>
      <c r="Y8">
        <v>11.9</v>
      </c>
      <c r="Z8">
        <v>136.2954</v>
      </c>
      <c r="AA8">
        <v>4.9000000000000004</v>
      </c>
    </row>
    <row r="9" spans="1:29" x14ac:dyDescent="0.3">
      <c r="A9" t="s">
        <v>12</v>
      </c>
      <c r="B9" t="s">
        <v>43</v>
      </c>
      <c r="C9" t="s">
        <v>44</v>
      </c>
      <c r="D9">
        <v>2013</v>
      </c>
      <c r="E9" t="s">
        <v>21</v>
      </c>
      <c r="F9" t="s">
        <v>26</v>
      </c>
      <c r="G9" t="s">
        <v>34</v>
      </c>
      <c r="H9" t="s">
        <v>22</v>
      </c>
      <c r="I9">
        <v>5.4047613000000001E-2</v>
      </c>
      <c r="J9">
        <v>10.99</v>
      </c>
      <c r="K9">
        <v>128.4402</v>
      </c>
      <c r="L9">
        <v>3</v>
      </c>
      <c r="N9">
        <f>AVERAGE(AA2:AA31)</f>
        <v>3.0588235294117649</v>
      </c>
      <c r="P9" t="str">
        <v>Low Fat</v>
      </c>
      <c r="Q9" t="str">
        <v>FDX48</v>
      </c>
      <c r="R9" t="str">
        <v>Fruits and Vegetables</v>
      </c>
      <c r="S9">
        <v>2010</v>
      </c>
      <c r="T9" t="str">
        <v>OUT033</v>
      </c>
      <c r="U9" t="str">
        <v>Tier 2</v>
      </c>
      <c r="V9" t="str">
        <v>Medium</v>
      </c>
      <c r="W9" t="str">
        <v>Supermarket Type3</v>
      </c>
      <c r="X9">
        <v>6.1446435000000001E-2</v>
      </c>
      <c r="Y9">
        <v>7.86</v>
      </c>
      <c r="Z9">
        <v>260.90320000000003</v>
      </c>
      <c r="AA9">
        <v>3.2</v>
      </c>
    </row>
    <row r="10" spans="1:29" x14ac:dyDescent="0.3">
      <c r="A10" t="s">
        <v>31</v>
      </c>
      <c r="B10" t="s">
        <v>45</v>
      </c>
      <c r="C10" t="s">
        <v>14</v>
      </c>
      <c r="D10">
        <v>2022</v>
      </c>
      <c r="E10" t="s">
        <v>46</v>
      </c>
      <c r="F10" t="s">
        <v>26</v>
      </c>
      <c r="G10" t="s">
        <v>34</v>
      </c>
      <c r="H10" t="s">
        <v>27</v>
      </c>
      <c r="I10">
        <v>0.104232589</v>
      </c>
      <c r="J10">
        <v>8.19</v>
      </c>
      <c r="K10">
        <v>64.183199999999999</v>
      </c>
      <c r="L10">
        <v>4.9000000000000004</v>
      </c>
      <c r="P10" t="str">
        <v>Low Fat</v>
      </c>
      <c r="Q10" t="str">
        <v>FDX29</v>
      </c>
      <c r="R10" t="str">
        <v>Canned</v>
      </c>
      <c r="S10">
        <v>2010</v>
      </c>
      <c r="T10" t="str">
        <v>OUT048</v>
      </c>
      <c r="U10" t="str">
        <v>Tier 3</v>
      </c>
      <c r="V10" t="str">
        <v>Medium</v>
      </c>
      <c r="W10" t="str">
        <v>Supermarket Type3</v>
      </c>
      <c r="X10">
        <v>0.106932737</v>
      </c>
      <c r="Y10">
        <v>19.600000000000001</v>
      </c>
      <c r="Z10">
        <v>205.04300000000001</v>
      </c>
      <c r="AA10">
        <v>1.8</v>
      </c>
    </row>
    <row r="11" spans="1:29" x14ac:dyDescent="0.3">
      <c r="A11" t="s">
        <v>12</v>
      </c>
      <c r="B11" t="s">
        <v>32</v>
      </c>
      <c r="C11" t="s">
        <v>47</v>
      </c>
      <c r="D11">
        <v>2018</v>
      </c>
      <c r="E11" t="s">
        <v>48</v>
      </c>
      <c r="F11" t="s">
        <v>16</v>
      </c>
      <c r="G11" t="s">
        <v>34</v>
      </c>
      <c r="H11" t="s">
        <v>27</v>
      </c>
      <c r="I11">
        <v>2.6185717000000001E-2</v>
      </c>
      <c r="J11">
        <v>9.5500000000000007</v>
      </c>
      <c r="K11">
        <v>71.431799999999996</v>
      </c>
      <c r="L11">
        <v>4.0999999999999996</v>
      </c>
      <c r="P11" t="str">
        <v>Regular</v>
      </c>
      <c r="Q11" t="str">
        <v>FDX82</v>
      </c>
      <c r="R11" t="str">
        <v>Health and Hygiene</v>
      </c>
      <c r="S11">
        <v>2022</v>
      </c>
      <c r="T11" t="str">
        <v>OUT048</v>
      </c>
      <c r="U11" t="str">
        <v>Tier 1</v>
      </c>
      <c r="V11" t="str">
        <v>High</v>
      </c>
      <c r="W11" t="str">
        <v>Supermarket Type3</v>
      </c>
      <c r="X11">
        <v>0.118663849</v>
      </c>
      <c r="Y11">
        <v>19.54</v>
      </c>
      <c r="Z11">
        <v>214.5446</v>
      </c>
      <c r="AA11">
        <v>2.4</v>
      </c>
    </row>
    <row r="12" spans="1:29" x14ac:dyDescent="0.3">
      <c r="A12" t="s">
        <v>31</v>
      </c>
      <c r="B12" t="s">
        <v>49</v>
      </c>
      <c r="C12" t="s">
        <v>20</v>
      </c>
      <c r="D12">
        <v>2013</v>
      </c>
      <c r="E12" t="s">
        <v>50</v>
      </c>
      <c r="F12" t="s">
        <v>26</v>
      </c>
      <c r="G12" t="s">
        <v>34</v>
      </c>
      <c r="H12" t="s">
        <v>22</v>
      </c>
      <c r="I12">
        <v>0.14154284</v>
      </c>
      <c r="J12">
        <v>18.27</v>
      </c>
      <c r="K12">
        <v>83.089500000000001</v>
      </c>
      <c r="L12">
        <v>1.1000000000000001</v>
      </c>
      <c r="P12" t="str">
        <v>Regular</v>
      </c>
      <c r="Q12" t="str">
        <v>FDX79</v>
      </c>
      <c r="R12" t="str">
        <v>Canned</v>
      </c>
      <c r="S12">
        <v>2017</v>
      </c>
      <c r="T12" t="str">
        <v>OUT016</v>
      </c>
      <c r="U12" t="str">
        <v>Tier 3</v>
      </c>
      <c r="V12" t="str">
        <v>High</v>
      </c>
      <c r="W12" t="str">
        <v>Supermarket Type3</v>
      </c>
      <c r="X12">
        <v>6.8243159999999997E-2</v>
      </c>
      <c r="Y12">
        <v>7.95</v>
      </c>
      <c r="Z12">
        <v>286.38400000000001</v>
      </c>
      <c r="AA12">
        <v>2.6</v>
      </c>
    </row>
    <row r="13" spans="1:29" x14ac:dyDescent="0.3">
      <c r="A13" t="s">
        <v>31</v>
      </c>
      <c r="B13" t="s">
        <v>51</v>
      </c>
      <c r="C13" t="s">
        <v>47</v>
      </c>
      <c r="D13">
        <v>2013</v>
      </c>
      <c r="E13" t="s">
        <v>52</v>
      </c>
      <c r="F13" t="s">
        <v>26</v>
      </c>
      <c r="G13" t="s">
        <v>40</v>
      </c>
      <c r="H13" t="s">
        <v>35</v>
      </c>
      <c r="I13">
        <v>0.14091862499999999</v>
      </c>
      <c r="J13">
        <v>11.89</v>
      </c>
      <c r="K13">
        <v>132.9658</v>
      </c>
      <c r="L13">
        <v>4.3</v>
      </c>
      <c r="P13" t="str">
        <v>Low Fat</v>
      </c>
      <c r="Q13" t="str">
        <v>FDX26</v>
      </c>
      <c r="R13" t="str">
        <v>Canned</v>
      </c>
      <c r="S13">
        <v>2020</v>
      </c>
      <c r="T13" t="str">
        <v>OUT041</v>
      </c>
      <c r="U13" t="str">
        <v>Tier 1</v>
      </c>
      <c r="V13" t="str">
        <v>Small</v>
      </c>
      <c r="W13" t="str">
        <v>Supermarket Type3</v>
      </c>
      <c r="X13">
        <v>3.0356193E-2</v>
      </c>
      <c r="Y13">
        <v>6.95</v>
      </c>
      <c r="Z13">
        <v>97.501599999999996</v>
      </c>
      <c r="AA13">
        <v>1.2</v>
      </c>
    </row>
    <row r="14" spans="1:29" x14ac:dyDescent="0.3">
      <c r="A14" t="s">
        <v>12</v>
      </c>
      <c r="B14" t="s">
        <v>53</v>
      </c>
      <c r="C14" t="s">
        <v>44</v>
      </c>
      <c r="D14">
        <v>2020</v>
      </c>
      <c r="E14" t="s">
        <v>54</v>
      </c>
      <c r="F14" t="s">
        <v>16</v>
      </c>
      <c r="G14" t="s">
        <v>40</v>
      </c>
      <c r="H14" t="s">
        <v>22</v>
      </c>
      <c r="I14">
        <v>0.15729499799999999</v>
      </c>
      <c r="J14">
        <v>9.86</v>
      </c>
      <c r="K14">
        <v>280.50740000000002</v>
      </c>
      <c r="L14">
        <v>1.3</v>
      </c>
      <c r="P14" t="str">
        <v>Low Fat</v>
      </c>
      <c r="Q14" t="str">
        <v>FDX33</v>
      </c>
      <c r="R14" t="str">
        <v>Frozen Foods</v>
      </c>
      <c r="S14">
        <v>2017</v>
      </c>
      <c r="T14" t="str">
        <v>OUT034</v>
      </c>
      <c r="U14" t="str">
        <v>Tier 1</v>
      </c>
      <c r="V14" t="str">
        <v>Small</v>
      </c>
      <c r="W14" t="str">
        <v>Supermarket Type3</v>
      </c>
      <c r="X14">
        <v>0.17808128600000001</v>
      </c>
      <c r="Y14">
        <v>6.3</v>
      </c>
      <c r="Z14">
        <v>243.3254</v>
      </c>
      <c r="AA14">
        <v>2.9</v>
      </c>
    </row>
    <row r="15" spans="1:29" x14ac:dyDescent="0.3">
      <c r="A15" t="s">
        <v>12</v>
      </c>
      <c r="B15" t="s">
        <v>55</v>
      </c>
      <c r="C15" t="s">
        <v>56</v>
      </c>
      <c r="D15">
        <v>2016</v>
      </c>
      <c r="E15" t="s">
        <v>57</v>
      </c>
      <c r="F15" t="s">
        <v>16</v>
      </c>
      <c r="G15" t="s">
        <v>34</v>
      </c>
      <c r="H15" t="s">
        <v>18</v>
      </c>
      <c r="I15">
        <v>0.14773445099999999</v>
      </c>
      <c r="J15">
        <v>13.5</v>
      </c>
      <c r="K15">
        <v>193.11060000000001</v>
      </c>
      <c r="L15">
        <v>2.4</v>
      </c>
      <c r="P15" t="str">
        <v>Low Fat</v>
      </c>
      <c r="Q15" t="str">
        <v>FDX32</v>
      </c>
      <c r="R15" t="str">
        <v>Fruits and Vegetables</v>
      </c>
      <c r="S15">
        <v>2019</v>
      </c>
      <c r="T15" t="str">
        <v>OUT042</v>
      </c>
      <c r="U15" t="str">
        <v>Tier 1</v>
      </c>
      <c r="V15" t="str">
        <v>High</v>
      </c>
      <c r="W15" t="str">
        <v>Supermarket Type3</v>
      </c>
      <c r="X15">
        <v>0.127375345</v>
      </c>
      <c r="Y15">
        <v>21.25</v>
      </c>
      <c r="Z15">
        <v>152.7663</v>
      </c>
      <c r="AA15">
        <v>4.2</v>
      </c>
    </row>
    <row r="16" spans="1:29" x14ac:dyDescent="0.3">
      <c r="A16" t="s">
        <v>12</v>
      </c>
      <c r="B16" t="s">
        <v>58</v>
      </c>
      <c r="C16" t="s">
        <v>56</v>
      </c>
      <c r="D16">
        <v>2021</v>
      </c>
      <c r="E16" t="s">
        <v>59</v>
      </c>
      <c r="F16" t="s">
        <v>39</v>
      </c>
      <c r="G16" t="s">
        <v>40</v>
      </c>
      <c r="H16" t="s">
        <v>35</v>
      </c>
      <c r="I16">
        <v>1.994399E-3</v>
      </c>
      <c r="J16">
        <v>23.04</v>
      </c>
      <c r="K16">
        <v>222.20920000000001</v>
      </c>
      <c r="L16">
        <v>3.9</v>
      </c>
      <c r="P16" t="str">
        <v>Low Fat</v>
      </c>
      <c r="Q16" t="str">
        <v>FDX39</v>
      </c>
      <c r="R16" t="str">
        <v>Soft Drinks</v>
      </c>
      <c r="S16">
        <v>2020</v>
      </c>
      <c r="T16" t="str">
        <v>OUT040</v>
      </c>
      <c r="U16" t="str">
        <v>Tier 1</v>
      </c>
      <c r="V16" t="str">
        <v>High</v>
      </c>
      <c r="W16" t="str">
        <v>Supermarket Type3</v>
      </c>
      <c r="X16">
        <v>0.12268788</v>
      </c>
      <c r="Y16">
        <v>14.87</v>
      </c>
      <c r="Z16">
        <v>72.528000000000006</v>
      </c>
      <c r="AA16">
        <v>4</v>
      </c>
    </row>
    <row r="17" spans="1:27" x14ac:dyDescent="0.3">
      <c r="A17" t="s">
        <v>31</v>
      </c>
      <c r="B17" t="s">
        <v>60</v>
      </c>
      <c r="C17" t="s">
        <v>61</v>
      </c>
      <c r="D17">
        <v>2019</v>
      </c>
      <c r="E17" t="s">
        <v>62</v>
      </c>
      <c r="F17" t="s">
        <v>39</v>
      </c>
      <c r="G17" t="s">
        <v>17</v>
      </c>
      <c r="H17" t="s">
        <v>18</v>
      </c>
      <c r="I17">
        <v>2.5280957E-2</v>
      </c>
      <c r="J17">
        <v>16.72</v>
      </c>
      <c r="K17">
        <v>271.20339999999999</v>
      </c>
      <c r="L17">
        <v>3.1</v>
      </c>
      <c r="P17" t="str">
        <v>Regular</v>
      </c>
      <c r="Q17" t="str">
        <v>FDX22</v>
      </c>
      <c r="R17" t="str">
        <v>Meat</v>
      </c>
      <c r="S17">
        <v>2010</v>
      </c>
      <c r="T17" t="str">
        <v>OUT016</v>
      </c>
      <c r="U17" t="str">
        <v>Tier 2</v>
      </c>
      <c r="V17" t="str">
        <v>Medium</v>
      </c>
      <c r="W17" t="str">
        <v>Supermarket Type3</v>
      </c>
      <c r="X17">
        <v>0.18958886599999999</v>
      </c>
      <c r="Y17">
        <v>10.25</v>
      </c>
      <c r="Z17">
        <v>138.2218</v>
      </c>
      <c r="AA17">
        <v>1.7</v>
      </c>
    </row>
    <row r="18" spans="1:27" x14ac:dyDescent="0.3">
      <c r="A18" t="s">
        <v>31</v>
      </c>
      <c r="B18" t="s">
        <v>63</v>
      </c>
      <c r="C18" t="s">
        <v>20</v>
      </c>
      <c r="D18">
        <v>2010</v>
      </c>
      <c r="E18" t="s">
        <v>64</v>
      </c>
      <c r="F18" t="s">
        <v>26</v>
      </c>
      <c r="G18" t="s">
        <v>40</v>
      </c>
      <c r="H18" t="s">
        <v>18</v>
      </c>
      <c r="I18">
        <v>0.181347432</v>
      </c>
      <c r="J18">
        <v>7.45</v>
      </c>
      <c r="K18">
        <v>97.2136</v>
      </c>
      <c r="L18">
        <v>2.4</v>
      </c>
      <c r="P18" t="str">
        <v>Regular</v>
      </c>
      <c r="Q18" t="str">
        <v>FDX60</v>
      </c>
      <c r="R18" t="str">
        <v>Fruits and Vegetables</v>
      </c>
      <c r="S18">
        <v>2012</v>
      </c>
      <c r="T18" t="str">
        <v>OUT031</v>
      </c>
      <c r="U18" t="str">
        <v>Tier 2</v>
      </c>
      <c r="V18" t="str">
        <v>Medium</v>
      </c>
      <c r="W18" t="str">
        <v>Supermarket Type3</v>
      </c>
      <c r="X18">
        <v>6.0516614000000003E-2</v>
      </c>
      <c r="Y18">
        <v>17.850000000000001</v>
      </c>
      <c r="Z18">
        <v>189.46019999999999</v>
      </c>
      <c r="AA18">
        <v>3.2</v>
      </c>
    </row>
    <row r="19" spans="1:27" x14ac:dyDescent="0.3">
      <c r="A19" t="s">
        <v>12</v>
      </c>
      <c r="B19" t="s">
        <v>65</v>
      </c>
      <c r="C19" t="s">
        <v>47</v>
      </c>
      <c r="D19">
        <v>2016</v>
      </c>
      <c r="E19" t="s">
        <v>66</v>
      </c>
      <c r="F19" t="s">
        <v>39</v>
      </c>
      <c r="G19" t="s">
        <v>40</v>
      </c>
      <c r="H19" t="s">
        <v>35</v>
      </c>
      <c r="I19">
        <v>6.3938327000000003E-2</v>
      </c>
      <c r="J19">
        <v>21.77</v>
      </c>
      <c r="K19">
        <v>172.51859999999999</v>
      </c>
      <c r="L19">
        <v>2.1</v>
      </c>
    </row>
    <row r="20" spans="1:27" x14ac:dyDescent="0.3">
      <c r="A20" t="s">
        <v>12</v>
      </c>
      <c r="B20" t="s">
        <v>28</v>
      </c>
      <c r="C20" t="s">
        <v>44</v>
      </c>
      <c r="D20">
        <v>2018</v>
      </c>
      <c r="E20" t="s">
        <v>67</v>
      </c>
      <c r="F20" t="s">
        <v>26</v>
      </c>
      <c r="G20" t="s">
        <v>40</v>
      </c>
      <c r="H20" t="s">
        <v>18</v>
      </c>
      <c r="I20">
        <v>0.17405559500000001</v>
      </c>
      <c r="J20">
        <v>7.25</v>
      </c>
      <c r="K20">
        <v>259.17329999999998</v>
      </c>
      <c r="L20">
        <v>2.2000000000000002</v>
      </c>
    </row>
    <row r="21" spans="1:27" x14ac:dyDescent="0.3">
      <c r="A21" t="s">
        <v>12</v>
      </c>
      <c r="B21" t="s">
        <v>68</v>
      </c>
      <c r="C21" t="s">
        <v>14</v>
      </c>
      <c r="D21">
        <v>2022</v>
      </c>
      <c r="E21" t="s">
        <v>59</v>
      </c>
      <c r="F21" t="s">
        <v>26</v>
      </c>
      <c r="G21" t="s">
        <v>17</v>
      </c>
      <c r="H21" t="s">
        <v>27</v>
      </c>
      <c r="I21">
        <v>0.16493302200000001</v>
      </c>
      <c r="J21">
        <v>15.62</v>
      </c>
      <c r="K21">
        <v>269.24630000000002</v>
      </c>
      <c r="L21">
        <v>3.8</v>
      </c>
    </row>
    <row r="22" spans="1:27" x14ac:dyDescent="0.3">
      <c r="A22" t="s">
        <v>12</v>
      </c>
      <c r="B22" t="s">
        <v>69</v>
      </c>
      <c r="C22" t="s">
        <v>44</v>
      </c>
      <c r="D22">
        <v>2014</v>
      </c>
      <c r="E22" t="s">
        <v>70</v>
      </c>
      <c r="F22" t="s">
        <v>39</v>
      </c>
      <c r="G22" t="s">
        <v>40</v>
      </c>
      <c r="H22" t="s">
        <v>18</v>
      </c>
      <c r="I22">
        <v>0.13235038599999999</v>
      </c>
      <c r="J22">
        <v>19.18</v>
      </c>
      <c r="K22">
        <v>281.23390000000001</v>
      </c>
      <c r="L22">
        <v>1.5</v>
      </c>
    </row>
    <row r="23" spans="1:27" x14ac:dyDescent="0.3">
      <c r="A23" t="s">
        <v>31</v>
      </c>
      <c r="B23" t="s">
        <v>71</v>
      </c>
      <c r="C23" t="s">
        <v>37</v>
      </c>
      <c r="D23">
        <v>2018</v>
      </c>
      <c r="E23" t="s">
        <v>67</v>
      </c>
      <c r="F23" t="s">
        <v>16</v>
      </c>
      <c r="G23" t="s">
        <v>40</v>
      </c>
      <c r="H23" t="s">
        <v>35</v>
      </c>
      <c r="I23">
        <v>5.5943971000000002E-2</v>
      </c>
      <c r="J23">
        <v>6.2</v>
      </c>
      <c r="K23">
        <v>146.88800000000001</v>
      </c>
      <c r="L23">
        <v>3.5</v>
      </c>
    </row>
    <row r="24" spans="1:27" x14ac:dyDescent="0.3">
      <c r="A24" t="s">
        <v>31</v>
      </c>
      <c r="B24" t="s">
        <v>72</v>
      </c>
      <c r="C24" t="s">
        <v>47</v>
      </c>
      <c r="D24">
        <v>2020</v>
      </c>
      <c r="E24" t="s">
        <v>73</v>
      </c>
      <c r="F24" t="s">
        <v>26</v>
      </c>
      <c r="G24" t="s">
        <v>17</v>
      </c>
      <c r="H24" t="s">
        <v>22</v>
      </c>
      <c r="I24">
        <v>1.6641799999999999E-3</v>
      </c>
      <c r="J24">
        <v>5.35</v>
      </c>
      <c r="K24">
        <v>203.983</v>
      </c>
      <c r="L24">
        <v>1.3</v>
      </c>
    </row>
    <row r="25" spans="1:27" x14ac:dyDescent="0.3">
      <c r="A25" t="s">
        <v>31</v>
      </c>
      <c r="B25" t="s">
        <v>74</v>
      </c>
      <c r="C25" t="s">
        <v>75</v>
      </c>
      <c r="D25">
        <v>2016</v>
      </c>
      <c r="E25" t="s">
        <v>76</v>
      </c>
      <c r="F25" t="s">
        <v>16</v>
      </c>
      <c r="G25" t="s">
        <v>17</v>
      </c>
      <c r="H25" t="s">
        <v>18</v>
      </c>
      <c r="I25">
        <v>3.7667175999999997E-2</v>
      </c>
      <c r="J25">
        <v>8.14</v>
      </c>
      <c r="K25">
        <v>88.985399999999998</v>
      </c>
      <c r="L25">
        <v>1.6</v>
      </c>
    </row>
    <row r="26" spans="1:27" x14ac:dyDescent="0.3">
      <c r="A26" t="s">
        <v>12</v>
      </c>
      <c r="B26" t="s">
        <v>77</v>
      </c>
      <c r="C26" t="s">
        <v>56</v>
      </c>
      <c r="D26">
        <v>2019</v>
      </c>
      <c r="E26" t="s">
        <v>30</v>
      </c>
      <c r="F26" t="s">
        <v>16</v>
      </c>
      <c r="G26" t="s">
        <v>34</v>
      </c>
      <c r="H26" t="s">
        <v>22</v>
      </c>
      <c r="I26">
        <v>9.3201021999999994E-2</v>
      </c>
      <c r="J26">
        <v>22.93</v>
      </c>
      <c r="K26">
        <v>79.243700000000004</v>
      </c>
      <c r="L26">
        <v>3.7</v>
      </c>
    </row>
    <row r="27" spans="1:27" x14ac:dyDescent="0.3">
      <c r="A27" t="s">
        <v>31</v>
      </c>
      <c r="B27" t="s">
        <v>28</v>
      </c>
      <c r="C27" t="s">
        <v>44</v>
      </c>
      <c r="D27">
        <v>2012</v>
      </c>
      <c r="E27" t="s">
        <v>62</v>
      </c>
      <c r="F27" t="s">
        <v>16</v>
      </c>
      <c r="G27" t="s">
        <v>17</v>
      </c>
      <c r="H27" t="s">
        <v>18</v>
      </c>
      <c r="I27">
        <v>0.19725088099999999</v>
      </c>
      <c r="J27">
        <v>23.41</v>
      </c>
      <c r="K27">
        <v>288.64089999999999</v>
      </c>
      <c r="L27">
        <v>4.5</v>
      </c>
    </row>
    <row r="28" spans="1:27" x14ac:dyDescent="0.3">
      <c r="A28" t="s">
        <v>12</v>
      </c>
      <c r="B28" t="s">
        <v>19</v>
      </c>
      <c r="C28" t="s">
        <v>75</v>
      </c>
      <c r="D28">
        <v>2012</v>
      </c>
      <c r="E28" t="s">
        <v>78</v>
      </c>
      <c r="F28" t="s">
        <v>16</v>
      </c>
      <c r="G28" t="s">
        <v>34</v>
      </c>
      <c r="H28" t="s">
        <v>35</v>
      </c>
      <c r="I28">
        <v>8.7366454999999996E-2</v>
      </c>
      <c r="J28">
        <v>16.11</v>
      </c>
      <c r="K28">
        <v>136.8819</v>
      </c>
      <c r="L28">
        <v>5</v>
      </c>
    </row>
    <row r="29" spans="1:27" x14ac:dyDescent="0.3">
      <c r="A29" t="s">
        <v>12</v>
      </c>
      <c r="B29" t="s">
        <v>79</v>
      </c>
      <c r="C29" t="s">
        <v>14</v>
      </c>
      <c r="D29">
        <v>2013</v>
      </c>
      <c r="E29" t="s">
        <v>30</v>
      </c>
      <c r="F29" t="s">
        <v>26</v>
      </c>
      <c r="G29" t="s">
        <v>17</v>
      </c>
      <c r="H29" t="s">
        <v>35</v>
      </c>
      <c r="I29">
        <v>7.5385683999999994E-2</v>
      </c>
      <c r="J29">
        <v>11.9</v>
      </c>
      <c r="K29">
        <v>136.2954</v>
      </c>
      <c r="L29">
        <v>4.9000000000000004</v>
      </c>
    </row>
    <row r="30" spans="1:27" x14ac:dyDescent="0.3">
      <c r="A30" t="s">
        <v>12</v>
      </c>
      <c r="B30" t="s">
        <v>80</v>
      </c>
      <c r="C30" t="s">
        <v>81</v>
      </c>
      <c r="D30">
        <v>2010</v>
      </c>
      <c r="E30" t="s">
        <v>82</v>
      </c>
      <c r="F30" t="s">
        <v>26</v>
      </c>
      <c r="G30" t="s">
        <v>17</v>
      </c>
      <c r="H30" t="s">
        <v>35</v>
      </c>
      <c r="I30">
        <v>6.1446435000000001E-2</v>
      </c>
      <c r="J30">
        <v>7.86</v>
      </c>
      <c r="K30">
        <v>260.90320000000003</v>
      </c>
      <c r="L30">
        <v>3.2</v>
      </c>
    </row>
    <row r="31" spans="1:27" x14ac:dyDescent="0.3">
      <c r="A31" t="s">
        <v>12</v>
      </c>
      <c r="B31" t="s">
        <v>83</v>
      </c>
      <c r="C31" t="s">
        <v>37</v>
      </c>
      <c r="D31">
        <v>2018</v>
      </c>
      <c r="E31" t="s">
        <v>84</v>
      </c>
      <c r="F31" t="s">
        <v>26</v>
      </c>
      <c r="G31" t="s">
        <v>40</v>
      </c>
      <c r="H31" t="s">
        <v>18</v>
      </c>
      <c r="I31">
        <v>0.17629510900000001</v>
      </c>
      <c r="J31">
        <v>5.86</v>
      </c>
      <c r="K31">
        <v>166.0728</v>
      </c>
      <c r="L31">
        <v>3.6</v>
      </c>
    </row>
    <row r="32" spans="1:27" x14ac:dyDescent="0.3">
      <c r="A32" t="s">
        <v>12</v>
      </c>
      <c r="B32" t="s">
        <v>65</v>
      </c>
      <c r="C32" t="s">
        <v>56</v>
      </c>
      <c r="D32">
        <v>2018</v>
      </c>
      <c r="E32" t="s">
        <v>54</v>
      </c>
      <c r="F32" t="s">
        <v>26</v>
      </c>
      <c r="G32" t="s">
        <v>34</v>
      </c>
      <c r="H32" t="s">
        <v>18</v>
      </c>
      <c r="I32">
        <v>0.15843724000000001</v>
      </c>
      <c r="J32">
        <v>14.86</v>
      </c>
      <c r="K32">
        <v>156.06479999999999</v>
      </c>
      <c r="L32">
        <v>1.3</v>
      </c>
    </row>
    <row r="33" spans="1:12" x14ac:dyDescent="0.3">
      <c r="A33" t="s">
        <v>12</v>
      </c>
      <c r="B33" t="s">
        <v>85</v>
      </c>
      <c r="C33" t="s">
        <v>37</v>
      </c>
      <c r="D33">
        <v>2022</v>
      </c>
      <c r="E33" t="s">
        <v>38</v>
      </c>
      <c r="F33" t="s">
        <v>26</v>
      </c>
      <c r="G33" t="s">
        <v>17</v>
      </c>
      <c r="H33" t="s">
        <v>18</v>
      </c>
      <c r="I33">
        <v>2.4131959999999998E-3</v>
      </c>
      <c r="J33">
        <v>16.600000000000001</v>
      </c>
      <c r="K33">
        <v>63.9649</v>
      </c>
      <c r="L33">
        <v>2.5</v>
      </c>
    </row>
    <row r="34" spans="1:12" x14ac:dyDescent="0.3">
      <c r="A34" t="s">
        <v>31</v>
      </c>
      <c r="B34" t="s">
        <v>86</v>
      </c>
      <c r="C34" t="s">
        <v>37</v>
      </c>
      <c r="D34">
        <v>2017</v>
      </c>
      <c r="E34" t="s">
        <v>87</v>
      </c>
      <c r="F34" t="s">
        <v>16</v>
      </c>
      <c r="G34" t="s">
        <v>40</v>
      </c>
      <c r="H34" t="s">
        <v>27</v>
      </c>
      <c r="I34">
        <v>0.18583049200000001</v>
      </c>
      <c r="J34">
        <v>9.86</v>
      </c>
      <c r="K34">
        <v>99.165899999999993</v>
      </c>
      <c r="L34">
        <v>3.6</v>
      </c>
    </row>
    <row r="35" spans="1:12" x14ac:dyDescent="0.3">
      <c r="A35" t="s">
        <v>12</v>
      </c>
      <c r="B35" t="s">
        <v>88</v>
      </c>
      <c r="C35" t="s">
        <v>14</v>
      </c>
      <c r="D35">
        <v>2021</v>
      </c>
      <c r="E35" t="s">
        <v>59</v>
      </c>
      <c r="F35" t="s">
        <v>16</v>
      </c>
      <c r="G35" t="s">
        <v>17</v>
      </c>
      <c r="H35" t="s">
        <v>22</v>
      </c>
      <c r="I35">
        <v>0.16953795999999999</v>
      </c>
      <c r="J35">
        <v>23.22</v>
      </c>
      <c r="K35">
        <v>118.99890000000001</v>
      </c>
      <c r="L35">
        <v>1.9</v>
      </c>
    </row>
    <row r="36" spans="1:12" x14ac:dyDescent="0.3">
      <c r="A36" t="s">
        <v>12</v>
      </c>
      <c r="B36" t="s">
        <v>89</v>
      </c>
      <c r="C36" t="s">
        <v>29</v>
      </c>
      <c r="D36">
        <v>2014</v>
      </c>
      <c r="E36" t="s">
        <v>59</v>
      </c>
      <c r="F36" t="s">
        <v>26</v>
      </c>
      <c r="G36" t="s">
        <v>40</v>
      </c>
      <c r="H36" t="s">
        <v>22</v>
      </c>
      <c r="I36">
        <v>0.170361137</v>
      </c>
      <c r="J36">
        <v>12.09</v>
      </c>
      <c r="K36">
        <v>87.302000000000007</v>
      </c>
      <c r="L36">
        <v>3.6</v>
      </c>
    </row>
    <row r="37" spans="1:12" x14ac:dyDescent="0.3">
      <c r="A37" t="s">
        <v>12</v>
      </c>
      <c r="B37" t="s">
        <v>90</v>
      </c>
      <c r="C37" t="s">
        <v>56</v>
      </c>
      <c r="D37">
        <v>2021</v>
      </c>
      <c r="E37" t="s">
        <v>91</v>
      </c>
      <c r="F37" t="s">
        <v>26</v>
      </c>
      <c r="G37" t="s">
        <v>34</v>
      </c>
      <c r="H37" t="s">
        <v>27</v>
      </c>
      <c r="I37">
        <v>0.17466289900000001</v>
      </c>
      <c r="J37">
        <v>18.18</v>
      </c>
      <c r="K37">
        <v>191.43600000000001</v>
      </c>
      <c r="L37">
        <v>1.2</v>
      </c>
    </row>
    <row r="38" spans="1:12" x14ac:dyDescent="0.3">
      <c r="A38" t="s">
        <v>31</v>
      </c>
      <c r="B38" t="s">
        <v>60</v>
      </c>
      <c r="C38" t="s">
        <v>44</v>
      </c>
      <c r="D38">
        <v>2021</v>
      </c>
      <c r="E38" t="s">
        <v>92</v>
      </c>
      <c r="F38" t="s">
        <v>16</v>
      </c>
      <c r="G38" t="s">
        <v>40</v>
      </c>
      <c r="H38" t="s">
        <v>22</v>
      </c>
      <c r="I38">
        <v>3.1118076000000001E-2</v>
      </c>
      <c r="J38">
        <v>6.73</v>
      </c>
      <c r="K38">
        <v>293.56869999999998</v>
      </c>
      <c r="L38">
        <v>1.1000000000000001</v>
      </c>
    </row>
    <row r="39" spans="1:12" x14ac:dyDescent="0.3">
      <c r="A39" t="s">
        <v>12</v>
      </c>
      <c r="B39" t="s">
        <v>23</v>
      </c>
      <c r="C39" t="s">
        <v>75</v>
      </c>
      <c r="D39">
        <v>2022</v>
      </c>
      <c r="E39" t="s">
        <v>93</v>
      </c>
      <c r="F39" t="s">
        <v>26</v>
      </c>
      <c r="G39" t="s">
        <v>17</v>
      </c>
      <c r="H39" t="s">
        <v>18</v>
      </c>
      <c r="I39">
        <v>0.159281213</v>
      </c>
      <c r="J39">
        <v>8.76</v>
      </c>
      <c r="K39">
        <v>263.51859999999999</v>
      </c>
      <c r="L39">
        <v>3.1</v>
      </c>
    </row>
    <row r="40" spans="1:12" x14ac:dyDescent="0.3">
      <c r="A40" t="s">
        <v>31</v>
      </c>
      <c r="B40" t="s">
        <v>94</v>
      </c>
      <c r="C40" t="s">
        <v>29</v>
      </c>
      <c r="D40">
        <v>2016</v>
      </c>
      <c r="E40" t="s">
        <v>91</v>
      </c>
      <c r="F40" t="s">
        <v>16</v>
      </c>
      <c r="G40" t="s">
        <v>34</v>
      </c>
      <c r="H40" t="s">
        <v>18</v>
      </c>
      <c r="I40">
        <v>0.15474281100000001</v>
      </c>
      <c r="J40">
        <v>11.49</v>
      </c>
      <c r="K40">
        <v>193.0976</v>
      </c>
      <c r="L40">
        <v>2.9</v>
      </c>
    </row>
    <row r="41" spans="1:12" x14ac:dyDescent="0.3">
      <c r="A41" t="s">
        <v>12</v>
      </c>
      <c r="B41" t="s">
        <v>83</v>
      </c>
      <c r="C41" t="s">
        <v>75</v>
      </c>
      <c r="D41">
        <v>2014</v>
      </c>
      <c r="E41" t="s">
        <v>62</v>
      </c>
      <c r="F41" t="s">
        <v>39</v>
      </c>
      <c r="G41" t="s">
        <v>34</v>
      </c>
      <c r="H41" t="s">
        <v>22</v>
      </c>
      <c r="I41">
        <v>3.2137796000000003E-2</v>
      </c>
      <c r="J41">
        <v>8.5500000000000007</v>
      </c>
      <c r="K41">
        <v>174.33320000000001</v>
      </c>
      <c r="L41">
        <v>2.7</v>
      </c>
    </row>
    <row r="42" spans="1:12" x14ac:dyDescent="0.3">
      <c r="A42" t="s">
        <v>12</v>
      </c>
      <c r="B42" t="s">
        <v>95</v>
      </c>
      <c r="C42" t="s">
        <v>37</v>
      </c>
      <c r="D42">
        <v>2010</v>
      </c>
      <c r="E42" t="s">
        <v>33</v>
      </c>
      <c r="F42" t="s">
        <v>16</v>
      </c>
      <c r="G42" t="s">
        <v>17</v>
      </c>
      <c r="H42" t="s">
        <v>35</v>
      </c>
      <c r="I42">
        <v>0.106932737</v>
      </c>
      <c r="J42">
        <v>19.600000000000001</v>
      </c>
      <c r="K42">
        <v>205.04300000000001</v>
      </c>
      <c r="L42">
        <v>1.8</v>
      </c>
    </row>
    <row r="43" spans="1:12" x14ac:dyDescent="0.3">
      <c r="A43" t="s">
        <v>12</v>
      </c>
      <c r="B43" t="s">
        <v>96</v>
      </c>
      <c r="C43" t="s">
        <v>29</v>
      </c>
      <c r="D43">
        <v>2014</v>
      </c>
      <c r="E43" t="s">
        <v>87</v>
      </c>
      <c r="F43" t="s">
        <v>16</v>
      </c>
      <c r="G43" t="s">
        <v>34</v>
      </c>
      <c r="H43" t="s">
        <v>27</v>
      </c>
      <c r="I43">
        <v>0.19526439000000001</v>
      </c>
      <c r="J43">
        <v>22.1</v>
      </c>
      <c r="K43">
        <v>284.3503</v>
      </c>
      <c r="L43">
        <v>3.7</v>
      </c>
    </row>
    <row r="44" spans="1:12" x14ac:dyDescent="0.3">
      <c r="A44" t="s">
        <v>31</v>
      </c>
      <c r="B44" t="s">
        <v>97</v>
      </c>
      <c r="C44" t="s">
        <v>24</v>
      </c>
      <c r="D44">
        <v>2022</v>
      </c>
      <c r="E44" t="s">
        <v>33</v>
      </c>
      <c r="F44" t="s">
        <v>39</v>
      </c>
      <c r="G44" t="s">
        <v>34</v>
      </c>
      <c r="H44" t="s">
        <v>35</v>
      </c>
      <c r="I44">
        <v>0.118663849</v>
      </c>
      <c r="J44">
        <v>19.54</v>
      </c>
      <c r="K44">
        <v>214.5446</v>
      </c>
      <c r="L44">
        <v>2.4</v>
      </c>
    </row>
    <row r="45" spans="1:12" x14ac:dyDescent="0.3">
      <c r="A45" t="s">
        <v>31</v>
      </c>
      <c r="B45" t="s">
        <v>98</v>
      </c>
      <c r="C45" t="s">
        <v>37</v>
      </c>
      <c r="D45">
        <v>2017</v>
      </c>
      <c r="E45" t="s">
        <v>48</v>
      </c>
      <c r="F45" t="s">
        <v>16</v>
      </c>
      <c r="G45" t="s">
        <v>34</v>
      </c>
      <c r="H45" t="s">
        <v>35</v>
      </c>
      <c r="I45">
        <v>6.8243159999999997E-2</v>
      </c>
      <c r="J45">
        <v>7.95</v>
      </c>
      <c r="K45">
        <v>286.38400000000001</v>
      </c>
      <c r="L45">
        <v>2.6</v>
      </c>
    </row>
    <row r="46" spans="1:12" x14ac:dyDescent="0.3">
      <c r="A46" t="s">
        <v>31</v>
      </c>
      <c r="B46" t="s">
        <v>99</v>
      </c>
      <c r="C46" t="s">
        <v>29</v>
      </c>
      <c r="D46">
        <v>2022</v>
      </c>
      <c r="E46" t="s">
        <v>30</v>
      </c>
      <c r="F46" t="s">
        <v>39</v>
      </c>
      <c r="G46" t="s">
        <v>34</v>
      </c>
      <c r="H46" t="s">
        <v>18</v>
      </c>
      <c r="I46">
        <v>2.6274965000000001E-2</v>
      </c>
      <c r="J46">
        <v>9.43</v>
      </c>
      <c r="K46">
        <v>149.81360000000001</v>
      </c>
      <c r="L46">
        <v>5</v>
      </c>
    </row>
    <row r="47" spans="1:12" x14ac:dyDescent="0.3">
      <c r="A47" t="s">
        <v>31</v>
      </c>
      <c r="B47" t="s">
        <v>100</v>
      </c>
      <c r="C47" t="s">
        <v>75</v>
      </c>
      <c r="D47">
        <v>2013</v>
      </c>
      <c r="E47" t="s">
        <v>21</v>
      </c>
      <c r="F47" t="s">
        <v>26</v>
      </c>
      <c r="G47" t="s">
        <v>34</v>
      </c>
      <c r="H47" t="s">
        <v>18</v>
      </c>
      <c r="I47">
        <v>1.7142273999999999E-2</v>
      </c>
      <c r="J47">
        <v>19.68</v>
      </c>
      <c r="K47">
        <v>231.2337</v>
      </c>
      <c r="L47">
        <v>4.4000000000000004</v>
      </c>
    </row>
    <row r="48" spans="1:12" x14ac:dyDescent="0.3">
      <c r="A48" t="s">
        <v>12</v>
      </c>
      <c r="B48" t="s">
        <v>100</v>
      </c>
      <c r="C48" t="s">
        <v>24</v>
      </c>
      <c r="D48">
        <v>2020</v>
      </c>
      <c r="E48" t="s">
        <v>30</v>
      </c>
      <c r="F48" t="s">
        <v>39</v>
      </c>
      <c r="G48" t="s">
        <v>40</v>
      </c>
      <c r="H48" t="s">
        <v>27</v>
      </c>
      <c r="I48">
        <v>4.6601339999999998E-2</v>
      </c>
      <c r="J48">
        <v>11.19</v>
      </c>
      <c r="K48">
        <v>180.85429999999999</v>
      </c>
      <c r="L48">
        <v>4.3</v>
      </c>
    </row>
    <row r="49" spans="1:12" x14ac:dyDescent="0.3">
      <c r="A49" t="s">
        <v>12</v>
      </c>
      <c r="B49" t="s">
        <v>28</v>
      </c>
      <c r="C49" t="s">
        <v>61</v>
      </c>
      <c r="D49">
        <v>2013</v>
      </c>
      <c r="E49" t="s">
        <v>82</v>
      </c>
      <c r="F49" t="s">
        <v>16</v>
      </c>
      <c r="G49" t="s">
        <v>17</v>
      </c>
      <c r="H49" t="s">
        <v>22</v>
      </c>
      <c r="I49">
        <v>6.0187585000000002E-2</v>
      </c>
      <c r="J49">
        <v>16.489999999999998</v>
      </c>
      <c r="K49">
        <v>173.39920000000001</v>
      </c>
      <c r="L49">
        <v>2.1</v>
      </c>
    </row>
    <row r="50" spans="1:12" x14ac:dyDescent="0.3">
      <c r="A50" t="s">
        <v>12</v>
      </c>
      <c r="B50" t="s">
        <v>28</v>
      </c>
      <c r="C50" t="s">
        <v>47</v>
      </c>
      <c r="D50">
        <v>2022</v>
      </c>
      <c r="E50" t="s">
        <v>101</v>
      </c>
      <c r="F50" t="s">
        <v>39</v>
      </c>
      <c r="G50" t="s">
        <v>34</v>
      </c>
      <c r="H50" t="s">
        <v>27</v>
      </c>
      <c r="I50">
        <v>1.2389753999999999E-2</v>
      </c>
      <c r="J50">
        <v>8.67</v>
      </c>
      <c r="K50">
        <v>123.0652</v>
      </c>
      <c r="L50">
        <v>3.8</v>
      </c>
    </row>
    <row r="51" spans="1:12" x14ac:dyDescent="0.3">
      <c r="A51" t="s">
        <v>12</v>
      </c>
      <c r="B51" t="s">
        <v>95</v>
      </c>
      <c r="C51" t="s">
        <v>47</v>
      </c>
      <c r="D51">
        <v>2022</v>
      </c>
      <c r="E51" t="s">
        <v>76</v>
      </c>
      <c r="F51" t="s">
        <v>26</v>
      </c>
      <c r="G51" t="s">
        <v>34</v>
      </c>
      <c r="H51" t="s">
        <v>18</v>
      </c>
      <c r="I51">
        <v>0.17809137999999999</v>
      </c>
      <c r="J51">
        <v>12.65</v>
      </c>
      <c r="K51">
        <v>117.6542</v>
      </c>
      <c r="L51">
        <v>4.0999999999999996</v>
      </c>
    </row>
    <row r="52" spans="1:12" x14ac:dyDescent="0.3">
      <c r="A52" t="s">
        <v>31</v>
      </c>
      <c r="B52" t="s">
        <v>102</v>
      </c>
      <c r="C52" t="s">
        <v>44</v>
      </c>
      <c r="D52">
        <v>2018</v>
      </c>
      <c r="E52" t="s">
        <v>64</v>
      </c>
      <c r="F52" t="s">
        <v>16</v>
      </c>
      <c r="G52" t="s">
        <v>34</v>
      </c>
      <c r="H52" t="s">
        <v>27</v>
      </c>
      <c r="I52">
        <v>0.192676179</v>
      </c>
      <c r="J52">
        <v>23.58</v>
      </c>
      <c r="K52">
        <v>203.60589999999999</v>
      </c>
      <c r="L52">
        <v>2.2000000000000002</v>
      </c>
    </row>
    <row r="53" spans="1:12" x14ac:dyDescent="0.3">
      <c r="A53" t="s">
        <v>12</v>
      </c>
      <c r="B53" t="s">
        <v>103</v>
      </c>
      <c r="C53" t="s">
        <v>37</v>
      </c>
      <c r="D53">
        <v>2021</v>
      </c>
      <c r="E53" t="s">
        <v>64</v>
      </c>
      <c r="F53" t="s">
        <v>16</v>
      </c>
      <c r="G53" t="s">
        <v>34</v>
      </c>
      <c r="H53" t="s">
        <v>18</v>
      </c>
      <c r="I53">
        <v>0.199476971</v>
      </c>
      <c r="J53">
        <v>7.85</v>
      </c>
      <c r="K53">
        <v>67.342699999999994</v>
      </c>
      <c r="L53">
        <v>1.9</v>
      </c>
    </row>
    <row r="54" spans="1:12" x14ac:dyDescent="0.3">
      <c r="A54" t="s">
        <v>12</v>
      </c>
      <c r="B54" t="s">
        <v>94</v>
      </c>
      <c r="C54" t="s">
        <v>37</v>
      </c>
      <c r="D54">
        <v>2022</v>
      </c>
      <c r="E54" t="s">
        <v>38</v>
      </c>
      <c r="F54" t="s">
        <v>39</v>
      </c>
      <c r="G54" t="s">
        <v>17</v>
      </c>
      <c r="H54" t="s">
        <v>22</v>
      </c>
      <c r="I54">
        <v>1.2596700000000001E-3</v>
      </c>
      <c r="J54">
        <v>8.2100000000000009</v>
      </c>
      <c r="K54">
        <v>108.4012</v>
      </c>
      <c r="L54">
        <v>1.8</v>
      </c>
    </row>
    <row r="55" spans="1:12" x14ac:dyDescent="0.3">
      <c r="A55" t="s">
        <v>31</v>
      </c>
      <c r="B55" t="s">
        <v>90</v>
      </c>
      <c r="C55" t="s">
        <v>37</v>
      </c>
      <c r="D55">
        <v>2020</v>
      </c>
      <c r="E55" t="s">
        <v>66</v>
      </c>
      <c r="F55" t="s">
        <v>26</v>
      </c>
      <c r="G55" t="s">
        <v>17</v>
      </c>
      <c r="H55" t="s">
        <v>22</v>
      </c>
      <c r="I55">
        <v>0.129238723</v>
      </c>
      <c r="J55">
        <v>5.68</v>
      </c>
      <c r="K55">
        <v>169.98939999999999</v>
      </c>
      <c r="L55">
        <v>3.8</v>
      </c>
    </row>
    <row r="56" spans="1:12" x14ac:dyDescent="0.3">
      <c r="A56" t="s">
        <v>31</v>
      </c>
      <c r="B56" t="s">
        <v>77</v>
      </c>
      <c r="C56" t="s">
        <v>14</v>
      </c>
      <c r="D56">
        <v>2021</v>
      </c>
      <c r="E56" t="s">
        <v>104</v>
      </c>
      <c r="F56" t="s">
        <v>39</v>
      </c>
      <c r="G56" t="s">
        <v>40</v>
      </c>
      <c r="H56" t="s">
        <v>22</v>
      </c>
      <c r="I56">
        <v>0.14791928900000001</v>
      </c>
      <c r="J56">
        <v>9.8000000000000007</v>
      </c>
      <c r="K56">
        <v>106.64570000000001</v>
      </c>
      <c r="L56">
        <v>3</v>
      </c>
    </row>
    <row r="57" spans="1:12" x14ac:dyDescent="0.3">
      <c r="A57" t="s">
        <v>31</v>
      </c>
      <c r="B57" t="s">
        <v>94</v>
      </c>
      <c r="C57" t="s">
        <v>20</v>
      </c>
      <c r="D57">
        <v>2013</v>
      </c>
      <c r="E57" t="s">
        <v>82</v>
      </c>
      <c r="F57" t="s">
        <v>39</v>
      </c>
      <c r="G57" t="s">
        <v>34</v>
      </c>
      <c r="H57" t="s">
        <v>22</v>
      </c>
      <c r="I57">
        <v>0.117475342</v>
      </c>
      <c r="J57">
        <v>19.850000000000001</v>
      </c>
      <c r="K57">
        <v>52.278700000000001</v>
      </c>
      <c r="L57">
        <v>1.2</v>
      </c>
    </row>
    <row r="58" spans="1:12" x14ac:dyDescent="0.3">
      <c r="A58" t="s">
        <v>31</v>
      </c>
      <c r="B58" t="s">
        <v>58</v>
      </c>
      <c r="C58" t="s">
        <v>20</v>
      </c>
      <c r="D58">
        <v>2022</v>
      </c>
      <c r="E58" t="s">
        <v>64</v>
      </c>
      <c r="F58" t="s">
        <v>39</v>
      </c>
      <c r="G58" t="s">
        <v>17</v>
      </c>
      <c r="H58" t="s">
        <v>22</v>
      </c>
      <c r="I58">
        <v>0.164321993</v>
      </c>
      <c r="J58">
        <v>18.45</v>
      </c>
      <c r="K58">
        <v>188.5976</v>
      </c>
      <c r="L58">
        <v>4.8</v>
      </c>
    </row>
    <row r="59" spans="1:12" x14ac:dyDescent="0.3">
      <c r="A59" t="s">
        <v>12</v>
      </c>
      <c r="B59" t="s">
        <v>105</v>
      </c>
      <c r="C59" t="s">
        <v>61</v>
      </c>
      <c r="D59">
        <v>2014</v>
      </c>
      <c r="E59" t="s">
        <v>67</v>
      </c>
      <c r="F59" t="s">
        <v>16</v>
      </c>
      <c r="G59" t="s">
        <v>34</v>
      </c>
      <c r="H59" t="s">
        <v>18</v>
      </c>
      <c r="I59">
        <v>1.9709599999999999E-3</v>
      </c>
      <c r="J59">
        <v>22.17</v>
      </c>
      <c r="K59">
        <v>275.71280000000002</v>
      </c>
      <c r="L59">
        <v>1.4</v>
      </c>
    </row>
    <row r="60" spans="1:12" x14ac:dyDescent="0.3">
      <c r="A60" t="s">
        <v>12</v>
      </c>
      <c r="B60" t="s">
        <v>106</v>
      </c>
      <c r="C60" t="s">
        <v>37</v>
      </c>
      <c r="D60">
        <v>2020</v>
      </c>
      <c r="E60" t="s">
        <v>107</v>
      </c>
      <c r="F60" t="s">
        <v>39</v>
      </c>
      <c r="G60" t="s">
        <v>40</v>
      </c>
      <c r="H60" t="s">
        <v>35</v>
      </c>
      <c r="I60">
        <v>3.0356193E-2</v>
      </c>
      <c r="J60">
        <v>6.95</v>
      </c>
      <c r="K60">
        <v>97.501599999999996</v>
      </c>
      <c r="L60">
        <v>1.2</v>
      </c>
    </row>
    <row r="61" spans="1:12" x14ac:dyDescent="0.3">
      <c r="A61" t="s">
        <v>12</v>
      </c>
      <c r="B61" t="s">
        <v>71</v>
      </c>
      <c r="C61" t="s">
        <v>47</v>
      </c>
      <c r="D61">
        <v>2017</v>
      </c>
      <c r="E61" t="s">
        <v>93</v>
      </c>
      <c r="F61" t="s">
        <v>39</v>
      </c>
      <c r="G61" t="s">
        <v>40</v>
      </c>
      <c r="H61" t="s">
        <v>35</v>
      </c>
      <c r="I61">
        <v>0.17808128600000001</v>
      </c>
      <c r="J61">
        <v>6.3</v>
      </c>
      <c r="K61">
        <v>243.3254</v>
      </c>
      <c r="L61">
        <v>2.9</v>
      </c>
    </row>
    <row r="62" spans="1:12" x14ac:dyDescent="0.3">
      <c r="A62" t="s">
        <v>12</v>
      </c>
      <c r="B62" t="s">
        <v>108</v>
      </c>
      <c r="C62" t="s">
        <v>14</v>
      </c>
      <c r="D62">
        <v>2012</v>
      </c>
      <c r="E62" t="s">
        <v>101</v>
      </c>
      <c r="F62" t="s">
        <v>16</v>
      </c>
      <c r="G62" t="s">
        <v>34</v>
      </c>
      <c r="H62" t="s">
        <v>18</v>
      </c>
      <c r="I62">
        <v>3.5498149999999999E-2</v>
      </c>
      <c r="J62">
        <v>19.23</v>
      </c>
      <c r="K62">
        <v>61.5443</v>
      </c>
      <c r="L62">
        <v>1.9</v>
      </c>
    </row>
    <row r="63" spans="1:12" x14ac:dyDescent="0.3">
      <c r="A63" t="s">
        <v>31</v>
      </c>
      <c r="B63" t="s">
        <v>109</v>
      </c>
      <c r="C63" t="s">
        <v>24</v>
      </c>
      <c r="D63">
        <v>2022</v>
      </c>
      <c r="E63" t="s">
        <v>48</v>
      </c>
      <c r="F63" t="s">
        <v>26</v>
      </c>
      <c r="G63" t="s">
        <v>34</v>
      </c>
      <c r="H63" t="s">
        <v>27</v>
      </c>
      <c r="I63">
        <v>2.1575001999999999E-2</v>
      </c>
      <c r="J63">
        <v>13.72</v>
      </c>
      <c r="K63">
        <v>114.401</v>
      </c>
      <c r="L63">
        <v>2.7</v>
      </c>
    </row>
    <row r="64" spans="1:12" x14ac:dyDescent="0.3">
      <c r="A64" t="s">
        <v>12</v>
      </c>
      <c r="B64" t="s">
        <v>105</v>
      </c>
      <c r="C64" t="s">
        <v>81</v>
      </c>
      <c r="D64">
        <v>2019</v>
      </c>
      <c r="E64" t="s">
        <v>73</v>
      </c>
      <c r="F64" t="s">
        <v>39</v>
      </c>
      <c r="G64" t="s">
        <v>34</v>
      </c>
      <c r="H64" t="s">
        <v>35</v>
      </c>
      <c r="I64">
        <v>0.127375345</v>
      </c>
      <c r="J64">
        <v>21.25</v>
      </c>
      <c r="K64">
        <v>152.7663</v>
      </c>
      <c r="L64">
        <v>4.2</v>
      </c>
    </row>
    <row r="65" spans="1:12" x14ac:dyDescent="0.3">
      <c r="A65" t="s">
        <v>31</v>
      </c>
      <c r="B65" t="s">
        <v>110</v>
      </c>
      <c r="C65" t="s">
        <v>75</v>
      </c>
      <c r="D65">
        <v>2019</v>
      </c>
      <c r="E65" t="s">
        <v>111</v>
      </c>
      <c r="F65" t="s">
        <v>39</v>
      </c>
      <c r="G65" t="s">
        <v>17</v>
      </c>
      <c r="H65" t="s">
        <v>22</v>
      </c>
      <c r="I65">
        <v>0.11373575499999999</v>
      </c>
      <c r="J65">
        <v>17.89</v>
      </c>
      <c r="K65">
        <v>68.616399999999999</v>
      </c>
      <c r="L65">
        <v>1.6</v>
      </c>
    </row>
    <row r="66" spans="1:12" x14ac:dyDescent="0.3">
      <c r="A66" t="s">
        <v>31</v>
      </c>
      <c r="B66" t="s">
        <v>53</v>
      </c>
      <c r="C66" t="s">
        <v>29</v>
      </c>
      <c r="D66">
        <v>2016</v>
      </c>
      <c r="E66" t="s">
        <v>25</v>
      </c>
      <c r="F66" t="s">
        <v>39</v>
      </c>
      <c r="G66" t="s">
        <v>17</v>
      </c>
      <c r="H66" t="s">
        <v>18</v>
      </c>
      <c r="I66">
        <v>0.149265972</v>
      </c>
      <c r="J66">
        <v>18.95</v>
      </c>
      <c r="K66">
        <v>204.48169999999999</v>
      </c>
      <c r="L66">
        <v>4.5999999999999996</v>
      </c>
    </row>
    <row r="67" spans="1:12" x14ac:dyDescent="0.3">
      <c r="A67" t="s">
        <v>12</v>
      </c>
      <c r="B67" t="s">
        <v>112</v>
      </c>
      <c r="C67" t="s">
        <v>75</v>
      </c>
      <c r="D67">
        <v>2011</v>
      </c>
      <c r="E67" t="s">
        <v>113</v>
      </c>
      <c r="F67" t="s">
        <v>26</v>
      </c>
      <c r="G67" t="s">
        <v>17</v>
      </c>
      <c r="H67" t="s">
        <v>22</v>
      </c>
      <c r="I67">
        <v>2.7895890999999999E-2</v>
      </c>
      <c r="J67">
        <v>20.79</v>
      </c>
      <c r="K67">
        <v>150.75129999999999</v>
      </c>
      <c r="L67">
        <v>1.4</v>
      </c>
    </row>
    <row r="68" spans="1:12" x14ac:dyDescent="0.3">
      <c r="A68" t="s">
        <v>12</v>
      </c>
      <c r="B68" t="s">
        <v>114</v>
      </c>
      <c r="C68" t="s">
        <v>29</v>
      </c>
      <c r="D68">
        <v>2014</v>
      </c>
      <c r="E68" t="s">
        <v>48</v>
      </c>
      <c r="F68" t="s">
        <v>26</v>
      </c>
      <c r="G68" t="s">
        <v>17</v>
      </c>
      <c r="H68" t="s">
        <v>18</v>
      </c>
      <c r="I68">
        <v>1.6746554E-2</v>
      </c>
      <c r="J68">
        <v>20.59</v>
      </c>
      <c r="K68">
        <v>55.653500000000001</v>
      </c>
      <c r="L68">
        <v>2.9</v>
      </c>
    </row>
    <row r="69" spans="1:12" x14ac:dyDescent="0.3">
      <c r="A69" t="s">
        <v>12</v>
      </c>
      <c r="B69" t="s">
        <v>115</v>
      </c>
      <c r="C69" t="s">
        <v>14</v>
      </c>
      <c r="D69">
        <v>2012</v>
      </c>
      <c r="E69" t="s">
        <v>91</v>
      </c>
      <c r="F69" t="s">
        <v>39</v>
      </c>
      <c r="G69" t="s">
        <v>40</v>
      </c>
      <c r="H69" t="s">
        <v>18</v>
      </c>
      <c r="I69">
        <v>1.2367314000000001E-2</v>
      </c>
      <c r="J69">
        <v>18.93</v>
      </c>
      <c r="K69">
        <v>291.85090000000002</v>
      </c>
      <c r="L69">
        <v>2.2000000000000002</v>
      </c>
    </row>
    <row r="70" spans="1:12" x14ac:dyDescent="0.3">
      <c r="A70" t="s">
        <v>31</v>
      </c>
      <c r="B70" t="s">
        <v>28</v>
      </c>
      <c r="C70" t="s">
        <v>14</v>
      </c>
      <c r="D70">
        <v>2014</v>
      </c>
      <c r="E70" t="s">
        <v>21</v>
      </c>
      <c r="F70" t="s">
        <v>39</v>
      </c>
      <c r="G70" t="s">
        <v>40</v>
      </c>
      <c r="H70" t="s">
        <v>27</v>
      </c>
      <c r="I70">
        <v>5.1815029999999996E-3</v>
      </c>
      <c r="J70">
        <v>21.02</v>
      </c>
      <c r="K70">
        <v>116.02160000000001</v>
      </c>
      <c r="L70">
        <v>2.1</v>
      </c>
    </row>
    <row r="71" spans="1:12" x14ac:dyDescent="0.3">
      <c r="A71" t="s">
        <v>31</v>
      </c>
      <c r="B71" t="s">
        <v>63</v>
      </c>
      <c r="C71" t="s">
        <v>20</v>
      </c>
      <c r="D71">
        <v>2018</v>
      </c>
      <c r="E71" t="s">
        <v>87</v>
      </c>
      <c r="F71" t="s">
        <v>39</v>
      </c>
      <c r="G71" t="s">
        <v>40</v>
      </c>
      <c r="H71" t="s">
        <v>22</v>
      </c>
      <c r="I71">
        <v>1.1766952000000001E-2</v>
      </c>
      <c r="J71">
        <v>12.85</v>
      </c>
      <c r="K71">
        <v>147.0821</v>
      </c>
      <c r="L71">
        <v>1.1000000000000001</v>
      </c>
    </row>
    <row r="72" spans="1:12" x14ac:dyDescent="0.3">
      <c r="A72" t="s">
        <v>12</v>
      </c>
      <c r="B72" t="s">
        <v>116</v>
      </c>
      <c r="C72" t="s">
        <v>81</v>
      </c>
      <c r="D72">
        <v>2013</v>
      </c>
      <c r="E72" t="s">
        <v>64</v>
      </c>
      <c r="F72" t="s">
        <v>39</v>
      </c>
      <c r="G72" t="s">
        <v>17</v>
      </c>
      <c r="H72" t="s">
        <v>22</v>
      </c>
      <c r="I72">
        <v>7.6656552000000003E-2</v>
      </c>
      <c r="J72">
        <v>15.65</v>
      </c>
      <c r="K72">
        <v>131.85679999999999</v>
      </c>
      <c r="L72">
        <v>1.4</v>
      </c>
    </row>
    <row r="73" spans="1:12" x14ac:dyDescent="0.3">
      <c r="A73" t="s">
        <v>12</v>
      </c>
      <c r="B73" t="s">
        <v>117</v>
      </c>
      <c r="C73" t="s">
        <v>61</v>
      </c>
      <c r="D73">
        <v>2020</v>
      </c>
      <c r="E73" t="s">
        <v>104</v>
      </c>
      <c r="F73" t="s">
        <v>39</v>
      </c>
      <c r="G73" t="s">
        <v>34</v>
      </c>
      <c r="H73" t="s">
        <v>35</v>
      </c>
      <c r="I73">
        <v>0.12268788</v>
      </c>
      <c r="J73">
        <v>14.87</v>
      </c>
      <c r="K73">
        <v>72.528000000000006</v>
      </c>
      <c r="L73">
        <v>4</v>
      </c>
    </row>
    <row r="74" spans="1:12" x14ac:dyDescent="0.3">
      <c r="A74" t="s">
        <v>12</v>
      </c>
      <c r="B74" t="s">
        <v>118</v>
      </c>
      <c r="C74" t="s">
        <v>75</v>
      </c>
      <c r="D74">
        <v>2018</v>
      </c>
      <c r="E74" t="s">
        <v>54</v>
      </c>
      <c r="F74" t="s">
        <v>39</v>
      </c>
      <c r="G74" t="s">
        <v>40</v>
      </c>
      <c r="H74" t="s">
        <v>22</v>
      </c>
      <c r="I74">
        <v>6.3541990000000007E-2</v>
      </c>
      <c r="J74">
        <v>17.75</v>
      </c>
      <c r="K74">
        <v>191.5917</v>
      </c>
      <c r="L74">
        <v>1.2</v>
      </c>
    </row>
    <row r="75" spans="1:12" x14ac:dyDescent="0.3">
      <c r="A75" t="s">
        <v>12</v>
      </c>
      <c r="B75" t="s">
        <v>71</v>
      </c>
      <c r="C75" t="s">
        <v>37</v>
      </c>
      <c r="D75">
        <v>2010</v>
      </c>
      <c r="E75" t="s">
        <v>64</v>
      </c>
      <c r="F75" t="s">
        <v>16</v>
      </c>
      <c r="G75" t="s">
        <v>40</v>
      </c>
      <c r="H75" t="s">
        <v>22</v>
      </c>
      <c r="I75">
        <v>2.4940967000000001E-2</v>
      </c>
      <c r="J75">
        <v>8.3800000000000008</v>
      </c>
      <c r="K75">
        <v>65.850300000000004</v>
      </c>
      <c r="L75">
        <v>2.6</v>
      </c>
    </row>
    <row r="76" spans="1:12" x14ac:dyDescent="0.3">
      <c r="A76" t="s">
        <v>31</v>
      </c>
      <c r="B76" t="s">
        <v>94</v>
      </c>
      <c r="C76" t="s">
        <v>20</v>
      </c>
      <c r="D76">
        <v>2020</v>
      </c>
      <c r="E76" t="s">
        <v>48</v>
      </c>
      <c r="F76" t="s">
        <v>39</v>
      </c>
      <c r="G76" t="s">
        <v>17</v>
      </c>
      <c r="H76" t="s">
        <v>27</v>
      </c>
      <c r="I76">
        <v>6.7173010000000002E-3</v>
      </c>
      <c r="J76">
        <v>19.14</v>
      </c>
      <c r="K76">
        <v>111.16630000000001</v>
      </c>
      <c r="L76">
        <v>2.2000000000000002</v>
      </c>
    </row>
    <row r="77" spans="1:12" x14ac:dyDescent="0.3">
      <c r="A77" t="s">
        <v>31</v>
      </c>
      <c r="B77" t="s">
        <v>60</v>
      </c>
      <c r="C77" t="s">
        <v>20</v>
      </c>
      <c r="D77">
        <v>2018</v>
      </c>
      <c r="E77" t="s">
        <v>119</v>
      </c>
      <c r="F77" t="s">
        <v>26</v>
      </c>
      <c r="G77" t="s">
        <v>17</v>
      </c>
      <c r="H77" t="s">
        <v>27</v>
      </c>
      <c r="I77">
        <v>6.4931594999999995E-2</v>
      </c>
      <c r="J77">
        <v>11.71</v>
      </c>
      <c r="K77">
        <v>178.2578</v>
      </c>
      <c r="L77">
        <v>4.4000000000000004</v>
      </c>
    </row>
    <row r="78" spans="1:12" x14ac:dyDescent="0.3">
      <c r="A78" t="s">
        <v>12</v>
      </c>
      <c r="B78" t="s">
        <v>71</v>
      </c>
      <c r="C78" t="s">
        <v>37</v>
      </c>
      <c r="D78">
        <v>2015</v>
      </c>
      <c r="E78" t="s">
        <v>120</v>
      </c>
      <c r="F78" t="s">
        <v>26</v>
      </c>
      <c r="G78" t="s">
        <v>34</v>
      </c>
      <c r="H78" t="s">
        <v>22</v>
      </c>
      <c r="I78">
        <v>0.19512141799999999</v>
      </c>
      <c r="J78">
        <v>9.08</v>
      </c>
      <c r="K78">
        <v>69.8977</v>
      </c>
      <c r="L78">
        <v>2.2999999999999998</v>
      </c>
    </row>
    <row r="79" spans="1:12" x14ac:dyDescent="0.3">
      <c r="A79" t="s">
        <v>12</v>
      </c>
      <c r="B79" t="s">
        <v>80</v>
      </c>
      <c r="C79" t="s">
        <v>47</v>
      </c>
      <c r="D79">
        <v>2011</v>
      </c>
      <c r="E79" t="s">
        <v>121</v>
      </c>
      <c r="F79" t="s">
        <v>26</v>
      </c>
      <c r="G79" t="s">
        <v>17</v>
      </c>
      <c r="H79" t="s">
        <v>22</v>
      </c>
      <c r="I79">
        <v>0.12224581399999999</v>
      </c>
      <c r="J79">
        <v>7.34</v>
      </c>
      <c r="K79">
        <v>168.2482</v>
      </c>
      <c r="L79">
        <v>4.8</v>
      </c>
    </row>
    <row r="80" spans="1:12" x14ac:dyDescent="0.3">
      <c r="A80" t="s">
        <v>12</v>
      </c>
      <c r="B80" t="s">
        <v>122</v>
      </c>
      <c r="C80" t="s">
        <v>47</v>
      </c>
      <c r="D80">
        <v>2011</v>
      </c>
      <c r="E80" t="s">
        <v>123</v>
      </c>
      <c r="F80" t="s">
        <v>39</v>
      </c>
      <c r="G80" t="s">
        <v>40</v>
      </c>
      <c r="H80" t="s">
        <v>22</v>
      </c>
      <c r="I80">
        <v>0.18883577200000001</v>
      </c>
      <c r="J80">
        <v>9.09</v>
      </c>
      <c r="K80">
        <v>284.1207</v>
      </c>
      <c r="L80">
        <v>1.2</v>
      </c>
    </row>
    <row r="81" spans="1:12" x14ac:dyDescent="0.3">
      <c r="A81" t="s">
        <v>31</v>
      </c>
      <c r="B81" t="s">
        <v>124</v>
      </c>
      <c r="C81" t="s">
        <v>24</v>
      </c>
      <c r="D81">
        <v>2017</v>
      </c>
      <c r="E81" t="s">
        <v>121</v>
      </c>
      <c r="F81" t="s">
        <v>39</v>
      </c>
      <c r="G81" t="s">
        <v>40</v>
      </c>
      <c r="H81" t="s">
        <v>18</v>
      </c>
      <c r="I81">
        <v>6.6151287000000003E-2</v>
      </c>
      <c r="J81">
        <v>11.35</v>
      </c>
      <c r="K81">
        <v>173.53870000000001</v>
      </c>
      <c r="L81">
        <v>3.7</v>
      </c>
    </row>
    <row r="82" spans="1:12" x14ac:dyDescent="0.3">
      <c r="A82" t="s">
        <v>12</v>
      </c>
      <c r="B82" t="s">
        <v>100</v>
      </c>
      <c r="C82" t="s">
        <v>47</v>
      </c>
      <c r="D82">
        <v>2012</v>
      </c>
      <c r="E82" t="s">
        <v>125</v>
      </c>
      <c r="F82" t="s">
        <v>26</v>
      </c>
      <c r="G82" t="s">
        <v>40</v>
      </c>
      <c r="H82" t="s">
        <v>18</v>
      </c>
      <c r="I82">
        <v>2.7552185999999999E-2</v>
      </c>
      <c r="J82">
        <v>22.55</v>
      </c>
      <c r="K82">
        <v>128.09309999999999</v>
      </c>
      <c r="L82">
        <v>2</v>
      </c>
    </row>
    <row r="83" spans="1:12" x14ac:dyDescent="0.3">
      <c r="A83" t="s">
        <v>12</v>
      </c>
      <c r="B83" t="s">
        <v>126</v>
      </c>
      <c r="C83" t="s">
        <v>47</v>
      </c>
      <c r="D83">
        <v>2015</v>
      </c>
      <c r="E83" t="s">
        <v>62</v>
      </c>
      <c r="F83" t="s">
        <v>39</v>
      </c>
      <c r="G83" t="s">
        <v>17</v>
      </c>
      <c r="H83" t="s">
        <v>27</v>
      </c>
      <c r="I83">
        <v>0.14745443</v>
      </c>
      <c r="J83">
        <v>6.49</v>
      </c>
      <c r="K83">
        <v>65.1173</v>
      </c>
      <c r="L83">
        <v>1.8</v>
      </c>
    </row>
    <row r="84" spans="1:12" x14ac:dyDescent="0.3">
      <c r="A84" t="s">
        <v>31</v>
      </c>
      <c r="B84" t="s">
        <v>89</v>
      </c>
      <c r="C84" t="s">
        <v>56</v>
      </c>
      <c r="D84">
        <v>2013</v>
      </c>
      <c r="E84" t="s">
        <v>15</v>
      </c>
      <c r="F84" t="s">
        <v>26</v>
      </c>
      <c r="G84" t="s">
        <v>17</v>
      </c>
      <c r="H84" t="s">
        <v>18</v>
      </c>
      <c r="I84">
        <v>0.13709516899999999</v>
      </c>
      <c r="J84">
        <v>18.46</v>
      </c>
      <c r="K84">
        <v>247.07820000000001</v>
      </c>
      <c r="L84">
        <v>3.3</v>
      </c>
    </row>
    <row r="85" spans="1:12" x14ac:dyDescent="0.3">
      <c r="A85" t="s">
        <v>31</v>
      </c>
      <c r="B85" t="s">
        <v>127</v>
      </c>
      <c r="C85" t="s">
        <v>56</v>
      </c>
      <c r="D85">
        <v>2010</v>
      </c>
      <c r="E85" t="s">
        <v>48</v>
      </c>
      <c r="F85" t="s">
        <v>26</v>
      </c>
      <c r="G85" t="s">
        <v>17</v>
      </c>
      <c r="H85" t="s">
        <v>35</v>
      </c>
      <c r="I85">
        <v>0.18958886599999999</v>
      </c>
      <c r="J85">
        <v>10.25</v>
      </c>
      <c r="K85">
        <v>138.2218</v>
      </c>
      <c r="L85">
        <v>1.7</v>
      </c>
    </row>
    <row r="86" spans="1:12" x14ac:dyDescent="0.3">
      <c r="A86" t="s">
        <v>31</v>
      </c>
      <c r="B86" t="s">
        <v>71</v>
      </c>
      <c r="C86" t="s">
        <v>61</v>
      </c>
      <c r="D86">
        <v>2015</v>
      </c>
      <c r="E86" t="s">
        <v>64</v>
      </c>
      <c r="F86" t="s">
        <v>16</v>
      </c>
      <c r="G86" t="s">
        <v>34</v>
      </c>
      <c r="H86" t="s">
        <v>22</v>
      </c>
      <c r="I86">
        <v>0.115224989</v>
      </c>
      <c r="J86">
        <v>11.57</v>
      </c>
      <c r="K86">
        <v>163.66849999999999</v>
      </c>
      <c r="L86">
        <v>2.4</v>
      </c>
    </row>
    <row r="87" spans="1:12" x14ac:dyDescent="0.3">
      <c r="A87" t="s">
        <v>12</v>
      </c>
      <c r="B87" t="s">
        <v>72</v>
      </c>
      <c r="C87" t="s">
        <v>37</v>
      </c>
      <c r="D87">
        <v>2018</v>
      </c>
      <c r="E87" t="s">
        <v>73</v>
      </c>
      <c r="F87" t="s">
        <v>16</v>
      </c>
      <c r="G87" t="s">
        <v>40</v>
      </c>
      <c r="H87" t="s">
        <v>18</v>
      </c>
      <c r="I87">
        <v>9.2513272999999993E-2</v>
      </c>
      <c r="J87">
        <v>24.23</v>
      </c>
      <c r="K87">
        <v>272.97120000000001</v>
      </c>
      <c r="L87">
        <v>4.3</v>
      </c>
    </row>
    <row r="88" spans="1:12" x14ac:dyDescent="0.3">
      <c r="A88" t="s">
        <v>31</v>
      </c>
      <c r="B88" t="s">
        <v>127</v>
      </c>
      <c r="C88" t="s">
        <v>75</v>
      </c>
      <c r="D88">
        <v>2013</v>
      </c>
      <c r="E88" t="s">
        <v>104</v>
      </c>
      <c r="F88" t="s">
        <v>26</v>
      </c>
      <c r="G88" t="s">
        <v>17</v>
      </c>
      <c r="H88" t="s">
        <v>18</v>
      </c>
      <c r="I88">
        <v>0.19253866</v>
      </c>
      <c r="J88">
        <v>8.0399999999999991</v>
      </c>
      <c r="K88">
        <v>53.176400000000001</v>
      </c>
      <c r="L88">
        <v>1.4</v>
      </c>
    </row>
    <row r="89" spans="1:12" x14ac:dyDescent="0.3">
      <c r="A89" t="s">
        <v>31</v>
      </c>
      <c r="B89" t="s">
        <v>49</v>
      </c>
      <c r="C89" t="s">
        <v>47</v>
      </c>
      <c r="D89">
        <v>2020</v>
      </c>
      <c r="E89" t="s">
        <v>66</v>
      </c>
      <c r="F89" t="s">
        <v>39</v>
      </c>
      <c r="G89" t="s">
        <v>17</v>
      </c>
      <c r="H89" t="s">
        <v>22</v>
      </c>
      <c r="I89">
        <v>0.124178475</v>
      </c>
      <c r="J89">
        <v>21.82</v>
      </c>
      <c r="K89">
        <v>211.822</v>
      </c>
      <c r="L89">
        <v>1.6</v>
      </c>
    </row>
    <row r="90" spans="1:12" x14ac:dyDescent="0.3">
      <c r="A90" t="s">
        <v>31</v>
      </c>
      <c r="B90" t="s">
        <v>86</v>
      </c>
      <c r="C90" t="s">
        <v>81</v>
      </c>
      <c r="D90">
        <v>2012</v>
      </c>
      <c r="E90" t="s">
        <v>128</v>
      </c>
      <c r="F90" t="s">
        <v>26</v>
      </c>
      <c r="G90" t="s">
        <v>17</v>
      </c>
      <c r="H90" t="s">
        <v>35</v>
      </c>
      <c r="I90">
        <v>6.0516614000000003E-2</v>
      </c>
      <c r="J90">
        <v>17.850000000000001</v>
      </c>
      <c r="K90">
        <v>189.46019999999999</v>
      </c>
      <c r="L90">
        <v>3.2</v>
      </c>
    </row>
    <row r="91" spans="1:12" x14ac:dyDescent="0.3">
      <c r="A91" t="s">
        <v>12</v>
      </c>
      <c r="B91" t="s">
        <v>32</v>
      </c>
      <c r="C91" t="s">
        <v>14</v>
      </c>
      <c r="D91">
        <v>2013</v>
      </c>
      <c r="E91" t="s">
        <v>119</v>
      </c>
      <c r="F91" t="s">
        <v>26</v>
      </c>
      <c r="G91" t="s">
        <v>40</v>
      </c>
      <c r="H91" t="s">
        <v>18</v>
      </c>
      <c r="I91">
        <v>9.5750739999999994E-3</v>
      </c>
      <c r="J91">
        <v>11.44</v>
      </c>
      <c r="K91">
        <v>172.0147</v>
      </c>
      <c r="L91">
        <v>1</v>
      </c>
    </row>
    <row r="92" spans="1:12" x14ac:dyDescent="0.3">
      <c r="A92" t="s">
        <v>12</v>
      </c>
      <c r="B92" t="s">
        <v>129</v>
      </c>
      <c r="C92" t="s">
        <v>20</v>
      </c>
      <c r="D92">
        <v>2014</v>
      </c>
      <c r="E92" t="s">
        <v>73</v>
      </c>
      <c r="F92" t="s">
        <v>26</v>
      </c>
      <c r="G92" t="s">
        <v>17</v>
      </c>
      <c r="H92" t="s">
        <v>18</v>
      </c>
      <c r="I92">
        <v>0.15894486399999999</v>
      </c>
      <c r="J92">
        <v>6.19</v>
      </c>
      <c r="K92">
        <v>216.65790000000001</v>
      </c>
      <c r="L92">
        <v>1.7</v>
      </c>
    </row>
    <row r="93" spans="1:12" x14ac:dyDescent="0.3">
      <c r="A93" t="s">
        <v>31</v>
      </c>
      <c r="B93" t="s">
        <v>77</v>
      </c>
      <c r="C93" t="s">
        <v>61</v>
      </c>
      <c r="D93">
        <v>2021</v>
      </c>
      <c r="E93" t="s">
        <v>113</v>
      </c>
      <c r="F93" t="s">
        <v>26</v>
      </c>
      <c r="G93" t="s">
        <v>34</v>
      </c>
      <c r="H93" t="s">
        <v>18</v>
      </c>
      <c r="I93">
        <v>3.4002076999999999E-2</v>
      </c>
      <c r="J93">
        <v>20.21</v>
      </c>
      <c r="K93">
        <v>287.05290000000002</v>
      </c>
      <c r="L93">
        <v>1.9</v>
      </c>
    </row>
    <row r="94" spans="1:12" x14ac:dyDescent="0.3">
      <c r="A94" t="s">
        <v>31</v>
      </c>
      <c r="B94" t="s">
        <v>130</v>
      </c>
      <c r="C94" t="s">
        <v>44</v>
      </c>
      <c r="D94">
        <v>2013</v>
      </c>
      <c r="E94" t="s">
        <v>21</v>
      </c>
      <c r="F94" t="s">
        <v>39</v>
      </c>
      <c r="G94" t="s">
        <v>40</v>
      </c>
      <c r="H94" t="s">
        <v>22</v>
      </c>
      <c r="I94">
        <v>0.140690861</v>
      </c>
      <c r="J94">
        <v>16.239999999999998</v>
      </c>
      <c r="K94">
        <v>223.55799999999999</v>
      </c>
      <c r="L94">
        <v>1.4</v>
      </c>
    </row>
    <row r="95" spans="1:12" x14ac:dyDescent="0.3">
      <c r="A95" t="s">
        <v>12</v>
      </c>
      <c r="B95" t="s">
        <v>90</v>
      </c>
      <c r="C95" t="s">
        <v>29</v>
      </c>
      <c r="D95">
        <v>2018</v>
      </c>
      <c r="E95" t="s">
        <v>78</v>
      </c>
      <c r="F95" t="s">
        <v>39</v>
      </c>
      <c r="G95" t="s">
        <v>34</v>
      </c>
      <c r="H95" t="s">
        <v>22</v>
      </c>
      <c r="I95">
        <v>0.17772593</v>
      </c>
      <c r="J95">
        <v>20.75</v>
      </c>
      <c r="K95">
        <v>76.003900000000002</v>
      </c>
      <c r="L95">
        <v>1.1000000000000001</v>
      </c>
    </row>
    <row r="96" spans="1:12" x14ac:dyDescent="0.3">
      <c r="A96" t="s">
        <v>12</v>
      </c>
      <c r="B96" t="s">
        <v>131</v>
      </c>
      <c r="C96" t="s">
        <v>75</v>
      </c>
      <c r="D96">
        <v>2011</v>
      </c>
      <c r="E96" t="s">
        <v>46</v>
      </c>
      <c r="F96" t="s">
        <v>16</v>
      </c>
      <c r="G96" t="s">
        <v>17</v>
      </c>
      <c r="H96" t="s">
        <v>18</v>
      </c>
      <c r="I96">
        <v>3.1140139000000001E-2</v>
      </c>
      <c r="J96">
        <v>18.87</v>
      </c>
      <c r="K96">
        <v>152.5728</v>
      </c>
      <c r="L96">
        <v>4.5999999999999996</v>
      </c>
    </row>
    <row r="97" spans="1:12" x14ac:dyDescent="0.3">
      <c r="A97" t="s">
        <v>31</v>
      </c>
      <c r="B97" t="s">
        <v>118</v>
      </c>
      <c r="C97" t="s">
        <v>29</v>
      </c>
      <c r="D97">
        <v>2016</v>
      </c>
      <c r="E97" t="s">
        <v>125</v>
      </c>
      <c r="F97" t="s">
        <v>39</v>
      </c>
      <c r="G97" t="s">
        <v>40</v>
      </c>
      <c r="H97" t="s">
        <v>18</v>
      </c>
      <c r="I97">
        <v>2.5704610999999999E-2</v>
      </c>
      <c r="J97">
        <v>15.3</v>
      </c>
      <c r="K97">
        <v>292.9316</v>
      </c>
      <c r="L97">
        <v>3</v>
      </c>
    </row>
    <row r="98" spans="1:12" x14ac:dyDescent="0.3">
      <c r="A98" t="s">
        <v>31</v>
      </c>
      <c r="B98" t="s">
        <v>94</v>
      </c>
      <c r="C98" t="s">
        <v>24</v>
      </c>
      <c r="D98">
        <v>2012</v>
      </c>
      <c r="E98" t="s">
        <v>91</v>
      </c>
      <c r="F98" t="s">
        <v>39</v>
      </c>
      <c r="G98" t="s">
        <v>40</v>
      </c>
      <c r="H98" t="s">
        <v>18</v>
      </c>
      <c r="I98">
        <v>0.13435266200000001</v>
      </c>
      <c r="J98">
        <v>12.23</v>
      </c>
      <c r="K98">
        <v>127.3087</v>
      </c>
      <c r="L98">
        <v>1.4</v>
      </c>
    </row>
    <row r="99" spans="1:12" x14ac:dyDescent="0.3">
      <c r="A99" t="s">
        <v>12</v>
      </c>
      <c r="B99" t="s">
        <v>90</v>
      </c>
      <c r="C99" t="s">
        <v>20</v>
      </c>
      <c r="D99">
        <v>2021</v>
      </c>
      <c r="E99" t="s">
        <v>76</v>
      </c>
      <c r="F99" t="s">
        <v>26</v>
      </c>
      <c r="G99" t="s">
        <v>34</v>
      </c>
      <c r="H99" t="s">
        <v>27</v>
      </c>
      <c r="I99">
        <v>5.3340389000000002E-2</v>
      </c>
      <c r="J99">
        <v>20.93</v>
      </c>
      <c r="K99">
        <v>120.4907</v>
      </c>
      <c r="L99">
        <v>4.2</v>
      </c>
    </row>
    <row r="100" spans="1:12" x14ac:dyDescent="0.3">
      <c r="A100" t="s">
        <v>31</v>
      </c>
      <c r="B100" t="s">
        <v>102</v>
      </c>
      <c r="C100" t="s">
        <v>24</v>
      </c>
      <c r="D100">
        <v>2020</v>
      </c>
      <c r="E100" t="s">
        <v>107</v>
      </c>
      <c r="F100" t="s">
        <v>39</v>
      </c>
      <c r="G100" t="s">
        <v>17</v>
      </c>
      <c r="H100" t="s">
        <v>18</v>
      </c>
      <c r="I100">
        <v>6.6284941E-2</v>
      </c>
      <c r="J100">
        <v>5.0999999999999996</v>
      </c>
      <c r="K100">
        <v>239.77760000000001</v>
      </c>
      <c r="L100">
        <v>2.8</v>
      </c>
    </row>
    <row r="101" spans="1:12" x14ac:dyDescent="0.3">
      <c r="A101" t="s">
        <v>31</v>
      </c>
      <c r="B101" t="s">
        <v>126</v>
      </c>
      <c r="C101" t="s">
        <v>14</v>
      </c>
      <c r="D101">
        <v>2011</v>
      </c>
      <c r="E101" t="s">
        <v>107</v>
      </c>
      <c r="F101" t="s">
        <v>26</v>
      </c>
      <c r="G101" t="s">
        <v>17</v>
      </c>
      <c r="H101" t="s">
        <v>18</v>
      </c>
      <c r="I101">
        <v>3.6865977000000001E-2</v>
      </c>
      <c r="J101">
        <v>5.63</v>
      </c>
      <c r="K101">
        <v>256.86669999999998</v>
      </c>
      <c r="L101">
        <v>1.4</v>
      </c>
    </row>
  </sheetData>
  <dataValidations count="1">
    <dataValidation type="list" allowBlank="1" showInputMessage="1" showErrorMessage="1" sqref="N6" xr:uid="{5AF2F5A2-254C-484E-BB3B-829E436CE035}">
      <formula1>$N$1:$N$4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38E50-ACE0-4950-9C3B-655E9630F5E2}">
  <dimension ref="A1"/>
  <sheetViews>
    <sheetView workbookViewId="0">
      <selection activeCell="H6" sqref="H6"/>
    </sheetView>
  </sheetViews>
  <sheetFormatPr defaultRowHeight="14.4" x14ac:dyDescent="0.3"/>
  <cols>
    <col min="1" max="1" width="24.77734375" customWidth="1"/>
  </cols>
  <sheetData>
    <row r="1" spans="1:1" x14ac:dyDescent="0.3">
      <c r="A1" t="s">
        <v>22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20D50A-EEA8-456E-97F0-2185EF53CA38}">
          <x14:formula1>
            <xm:f>'BlinkIT Grocery Data'!$N$1:$N$4</xm:f>
          </x14:formula1>
          <xm:sqref>A1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 Grocery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Kumar</cp:lastModifiedBy>
  <dcterms:created xsi:type="dcterms:W3CDTF">2026-05-23T05:48:52Z</dcterms:created>
  <dcterms:modified xsi:type="dcterms:W3CDTF">2026-05-23T13:42:44Z</dcterms:modified>
</cp:coreProperties>
</file>